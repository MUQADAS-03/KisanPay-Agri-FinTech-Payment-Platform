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h Scoring Matrix" sheetId="1" state="visible" r:id="rId3"/>
    <sheet name="Compliance Map" sheetId="2" state="visible" r:id="rId4"/>
    <sheet name="Gap Analysis" sheetId="3" state="visible" r:id="rId5"/>
    <sheet name="Implementation Gantt" sheetId="4" state="visible" r:id="rId6"/>
    <sheet name="KPI Dashboard" sheetId="5" state="visible" r:id="rId7"/>
    <sheet name="Payment Flow Diagram" sheetId="6" state="visible" r:id="rId8"/>
    <sheet name="Financial Proje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<sst xmlns="http://schemas.openxmlformats.org/spreadsheetml/2006/main" count="579" uniqueCount="422">
  <si>
    <t xml:space="preserve">KisanPay — Technology Scoring Matrix | MGT 589 Payment Technology | Phase 2: Part B</t>
  </si>
  <si>
    <t xml:space="preserve">Scoring Scale: 1=Very Poor  2=Poor  3=Average  4=Good  5=Excellent  |  Weights sum to 100%</t>
  </si>
  <si>
    <t xml:space="preserve">Payment Technology</t>
  </si>
  <si>
    <t xml:space="preserve">Cost
(30%)</t>
  </si>
  <si>
    <t xml:space="preserve">Speed
(25%)</t>
  </si>
  <si>
    <t xml:space="preserve">Security
(20%)</t>
  </si>
  <si>
    <t xml:space="preserve">Scalability
(15%)</t>
  </si>
  <si>
    <t xml:space="preserve">UX
(10%)</t>
  </si>
  <si>
    <t xml:space="preserve">Weighted
Score</t>
  </si>
  <si>
    <t xml:space="preserve">Rank</t>
  </si>
  <si>
    <t xml:space="preserve">KisanPay
Status</t>
  </si>
  <si>
    <t xml:space="preserve">Recommendation</t>
  </si>
  <si>
    <t xml:space="preserve">CRITERIA WEIGHTS →</t>
  </si>
  <si>
    <t xml:space="preserve">RAAST P2P / P2M (SBP Real-Time Rail)</t>
  </si>
  <si>
    <t xml:space="preserve">Core Platform Rail</t>
  </si>
  <si>
    <t xml:space="preserve">ADOPT — Primary</t>
  </si>
  <si>
    <t xml:space="preserve">NADRA eKYC API (Biometric Identity)</t>
  </si>
  <si>
    <t xml:space="preserve">MoU Required</t>
  </si>
  <si>
    <t xml:space="preserve">ADOPT — Priority 1</t>
  </si>
  <si>
    <t xml:space="preserve">USSD / IVR Interface (*123#)</t>
  </si>
  <si>
    <t xml:space="preserve">Planned — Q3 2026</t>
  </si>
  <si>
    <t xml:space="preserve">ADOPT — Priority 2</t>
  </si>
  <si>
    <t xml:space="preserve">Flutter Cross-Platform Mobile App (Arthi)</t>
  </si>
  <si>
    <t xml:space="preserve">MVP Development</t>
  </si>
  <si>
    <t xml:space="preserve">ADOPT — Q3 2026</t>
  </si>
  <si>
    <t xml:space="preserve">RAAST P2M QR Code (Interoperable)</t>
  </si>
  <si>
    <t xml:space="preserve">Year 2 Planned</t>
  </si>
  <si>
    <t xml:space="preserve">ADOPT — Year 2</t>
  </si>
  <si>
    <t xml:space="preserve">AI Alternative Credit Scoring Engine (ML)</t>
  </si>
  <si>
    <t xml:space="preserve">Prototype Phase</t>
  </si>
  <si>
    <t xml:space="preserve">BUILD — Year 1</t>
  </si>
  <si>
    <t xml:space="preserve">Open Banking APIs (SBP Open Finance)</t>
  </si>
  <si>
    <t xml:space="preserve">Regulatory Pending</t>
  </si>
  <si>
    <t xml:space="preserve">BUILD — Year 2</t>
  </si>
  <si>
    <t xml:space="preserve">Agent Cash Network (JazzCash/Easypaisa API)</t>
  </si>
  <si>
    <t xml:space="preserve">Active via Partners</t>
  </si>
  <si>
    <t xml:space="preserve">INTEGRATE</t>
  </si>
  <si>
    <t xml:space="preserve">Embedded BNPL / Working Capital Advance</t>
  </si>
  <si>
    <t xml:space="preserve">Product-Ready (PSP pending)</t>
  </si>
  <si>
    <t xml:space="preserve">LAUNCH post-PSP</t>
  </si>
  <si>
    <t xml:space="preserve">★ Green shading = Top-2 Scoring Technologies  |  Red shading = Bottom-2 Performers  |  Weighted Score = Cost 30% | Speed 25% | Security 20% | Scalability 15% | UX 10%</t>
  </si>
  <si>
    <t xml:space="preserve">KisanPay — Regulatory Compliance Map | MGT 589 Payment Technology | Phase 3: Part A</t>
  </si>
  <si>
    <t xml:space="preserve">Status: ✓ Compliant  |  ◑ Partial  |  ✗ Gap  |  N/A  |  Risk: HIGH / Medium / Low</t>
  </si>
  <si>
    <t xml:space="preserve">Regulatory Dimension</t>
  </si>
  <si>
    <t xml:space="preserve">Regulation / Law</t>
  </si>
  <si>
    <t xml:space="preserve">Specific Obligation for KisanPay</t>
  </si>
  <si>
    <t xml:space="preserve">Current Status</t>
  </si>
  <si>
    <t xml:space="preserve">Compliance</t>
  </si>
  <si>
    <t xml:space="preserve">Risk Level</t>
  </si>
  <si>
    <t xml:space="preserve">Risk</t>
  </si>
  <si>
    <t xml:space="preserve">AML / KYC</t>
  </si>
  <si>
    <t xml:space="preserve">Tiered KYC — Basic</t>
  </si>
  <si>
    <t xml:space="preserve">SBP AML/CFT Regs 2023</t>
  </si>
  <si>
    <t xml:space="preserve">CNIC-only KYC for transactions &lt; PKR 50,000/year; no additional docs required</t>
  </si>
  <si>
    <t xml:space="preserve">CNIC collection defined; agent-verified</t>
  </si>
  <si>
    <t xml:space="preserve">◑ Partial</t>
  </si>
  <si>
    <t xml:space="preserve">Medium</t>
  </si>
  <si>
    <t xml:space="preserve">Tiered KYC — Full</t>
  </si>
  <si>
    <t xml:space="preserve">Full KYC (income proof, address, purpose) for transactions ≥ PKR 50,000/year</t>
  </si>
  <si>
    <t xml:space="preserve">Process designed; not yet deployed</t>
  </si>
  <si>
    <t xml:space="preserve">Transaction Monitoring</t>
  </si>
  <si>
    <t xml:space="preserve">AML Act 2010; SBP Circular</t>
  </si>
  <si>
    <t xml:space="preserve">AI-based monitoring for transactions &gt; PKR 200,000; flag anomalies; monthly SBP reporting</t>
  </si>
  <si>
    <t xml:space="preserve">In development — not operational</t>
  </si>
  <si>
    <t xml:space="preserve">✗ Gap</t>
  </si>
  <si>
    <t xml:space="preserve">HIGH</t>
  </si>
  <si>
    <t xml:space="preserve">SAR Filing</t>
  </si>
  <si>
    <t xml:space="preserve">AML Act 2010, Section 7</t>
  </si>
  <si>
    <t xml:space="preserve">File SARs with FMU within 7 days of detection of suspicious transaction</t>
  </si>
  <si>
    <t xml:space="preserve">FMU API not integrated; mechanism absent</t>
  </si>
  <si>
    <t xml:space="preserve">Customer Due Diligence (CDD)</t>
  </si>
  <si>
    <t xml:space="preserve">FATF Rec. 10; SBP CDD Regs</t>
  </si>
  <si>
    <t xml:space="preserve">Standard CDD for all customers; verify identity before first transaction; ongoing monitoring</t>
  </si>
  <si>
    <t xml:space="preserve">Partially implemented via CNIC verification</t>
  </si>
  <si>
    <t xml:space="preserve">Enhanced Due Diligence (EDD) — Arthis</t>
  </si>
  <si>
    <t xml:space="preserve">FATF Rec. 12; SBP CDD Regs</t>
  </si>
  <si>
    <t xml:space="preserve">EDD required for arthis as high-value cash handlers: source of funds, site visit, periodic review</t>
  </si>
  <si>
    <t xml:space="preserve">No EDD programme defined</t>
  </si>
  <si>
    <t xml:space="preserve">10-Year Record Retention</t>
  </si>
  <si>
    <t xml:space="preserve">AML Act 2010, Section 6</t>
  </si>
  <si>
    <t xml:space="preserve">All transaction records retained for minimum 10 years; immutable audit trail required</t>
  </si>
  <si>
    <t xml:space="preserve">Planned on AWS Mumbai (SBP-approved region)</t>
  </si>
  <si>
    <t xml:space="preserve">Low</t>
  </si>
  <si>
    <t xml:space="preserve">LICENSING</t>
  </si>
  <si>
    <t xml:space="preserve">SBP PSP Licence</t>
  </si>
  <si>
    <t xml:space="preserve">SBP Payment Systems Regulations 2019</t>
  </si>
  <si>
    <t xml:space="preserve">PSP licence required before processing any commercial payment transactions</t>
  </si>
  <si>
    <t xml:space="preserve">Application not yet filed — CRITICAL pre-launch requirement</t>
  </si>
  <si>
    <t xml:space="preserve">SBP EMI Licence</t>
  </si>
  <si>
    <t xml:space="preserve">SBP EMI Regulations 2023</t>
  </si>
  <si>
    <t xml:space="preserve">E-Money Institution licence; PKR 200M minimum paid-up capital</t>
  </si>
  <si>
    <t xml:space="preserve">Year 2 target; operating as EMI-agent in Year 1</t>
  </si>
  <si>
    <t xml:space="preserve">N/A Year 1</t>
  </si>
  <si>
    <t xml:space="preserve">RAAST Sponsoring Bank MoU</t>
  </si>
  <si>
    <t xml:space="preserve">SBP RAAST Participation Agreement</t>
  </si>
  <si>
    <t xml:space="preserve">Commercial bank sponsorship for RAAST sub-member access; ISO 20022 compliance</t>
  </si>
  <si>
    <t xml:space="preserve">Under negotiation with Meezan Bank</t>
  </si>
  <si>
    <t xml:space="preserve">NADRA eKYC MoU</t>
  </si>
  <si>
    <t xml:space="preserve">NADRA Act 2000; SBP Digital KYC Framework</t>
  </si>
  <si>
    <t xml:space="preserve">Formal MoU with NADRA required before Verisys biometric API access</t>
  </si>
  <si>
    <t xml:space="preserve">Engagement not initiated</t>
  </si>
  <si>
    <t xml:space="preserve">SECP Company Registration</t>
  </si>
  <si>
    <t xml:space="preserve">Companies Act 2017</t>
  </si>
  <si>
    <t xml:space="preserve">Private Limited Company registration under Companies Act 2017</t>
  </si>
  <si>
    <t xml:space="preserve">Completed at incorporation</t>
  </si>
  <si>
    <t xml:space="preserve">✓ Compliant</t>
  </si>
  <si>
    <t xml:space="preserve">Nil</t>
  </si>
  <si>
    <t xml:space="preserve">DATA PROTECTION</t>
  </si>
  <si>
    <t xml:space="preserve">PDPA 2023 Compliance</t>
  </si>
  <si>
    <t xml:space="preserve">Personal Data Protection Act 2023</t>
  </si>
  <si>
    <t xml:space="preserve">Legal basis for all data processing; privacy notices; DPO appointment required</t>
  </si>
  <si>
    <t xml:space="preserve">Privacy policy draft incomplete; no DPO appointed</t>
  </si>
  <si>
    <t xml:space="preserve">SBP Data Localization</t>
  </si>
  <si>
    <t xml:space="preserve">SBP Data Localization Policy</t>
  </si>
  <si>
    <t xml:space="preserve">All payment transaction data stored on SBP-approved servers within Pakistan</t>
  </si>
  <si>
    <t xml:space="preserve">Compliant — AWS Mumbai is SBP-approved region</t>
  </si>
  <si>
    <t xml:space="preserve">PCI-DSS</t>
  </si>
  <si>
    <t xml:space="preserve">PCI Security Standards Council</t>
  </si>
  <si>
    <t xml:space="preserve">Required if card data is processed; KisanPay Phase 1 does not process card data</t>
  </si>
  <si>
    <t xml:space="preserve">Not applicable in Phase 1</t>
  </si>
  <si>
    <t xml:space="preserve">N/A</t>
  </si>
  <si>
    <t xml:space="preserve">CRYPTO / VASP</t>
  </si>
  <si>
    <t xml:space="preserve">Cryptocurrency Prohibition</t>
  </si>
  <si>
    <t xml:space="preserve">SBP Circular No. 3 (2021)</t>
  </si>
  <si>
    <t xml:space="preserve">KisanPay does not handle cryptocurrency; SBP 2021 Circular prohibits crypto for payments</t>
  </si>
  <si>
    <t xml:space="preserve">KisanPay is crypto-free by design</t>
  </si>
  <si>
    <t xml:space="preserve">SECP VASP Registration</t>
  </si>
  <si>
    <t xml:space="preserve">SECP VASP Consultation Paper 2024</t>
  </si>
  <si>
    <t xml:space="preserve">Required only if dealing in virtual assets — KisanPay does not</t>
  </si>
  <si>
    <t xml:space="preserve">Not applicable</t>
  </si>
  <si>
    <t xml:space="preserve">CROSS-BORDER</t>
  </si>
  <si>
    <t xml:space="preserve">SBP FX Regulations</t>
  </si>
  <si>
    <t xml:space="preserve">SBP Foreign Exchange Regulations</t>
  </si>
  <si>
    <t xml:space="preserve">Phase 1 is entirely domestic — no cross-border transactions; FX regulations not applicable</t>
  </si>
  <si>
    <t xml:space="preserve">Domestic-only operations confirmed</t>
  </si>
  <si>
    <t xml:space="preserve">SWIFT / Correspondent Banking</t>
  </si>
  <si>
    <t xml:space="preserve">SBP SWIFT Compliance</t>
  </si>
  <si>
    <t xml:space="preserve">Phase 1 domestic only; no SWIFT transactions required</t>
  </si>
  <si>
    <t xml:space="preserve">Not applicable — domestic RAAST only</t>
  </si>
  <si>
    <t xml:space="preserve">KisanPay — Compliance Gap Analysis &amp; Prioritised Remediation Plan | Phase 3: Part B</t>
  </si>
  <si>
    <t xml:space="preserve">Sorted: HIGH → Medium → Low  |  All gaps must be closed before commercial launch</t>
  </si>
  <si>
    <t xml:space="preserve">Compliance Gap</t>
  </si>
  <si>
    <t xml:space="preserve">Detailed Description</t>
  </si>
  <si>
    <t xml:space="preserve">Remediation Action Required</t>
  </si>
  <si>
    <t xml:space="preserve">Timeline</t>
  </si>
  <si>
    <t xml:space="preserve">Est. Cost (PKR)</t>
  </si>
  <si>
    <t xml:space="preserve">Responsible Function</t>
  </si>
  <si>
    <t xml:space="preserve">SBP PSP Licence
(Not Filed)</t>
  </si>
  <si>
    <t xml:space="preserve">PSP licence required before first commercial transaction; gates RAAST, USSD, and Working Capital Advance product simultaneously</t>
  </si>
  <si>
    <t xml:space="preserve">File SBP PSP application Month 1; engage external regulatory counsel; prepare business plan, capital adequacy proof, and compliance framework</t>
  </si>
  <si>
    <t xml:space="preserve">Month 1–6</t>
  </si>
  <si>
    <t xml:space="preserve">PKR 2,000,000–3,000,000</t>
  </si>
  <si>
    <t xml:space="preserve">CEO + External Legal Counsel</t>
  </si>
  <si>
    <t xml:space="preserve">SAR Filing
Infrastructure (Absent)</t>
  </si>
  <si>
    <t xml:space="preserve">No SAR filing mechanism exists; FMU API not integrated; must be operational before any commercial transaction to comply with AML Act 2010 Section 7</t>
  </si>
  <si>
    <t xml:space="preserve">Hire AML Compliance Officer Month 1; integrate FMU API; establish monthly STR reporting to SBP; staff training on red-flag indicators</t>
  </si>
  <si>
    <t xml:space="preserve">Month 1–2
(8 weeks)</t>
  </si>
  <si>
    <t xml:space="preserve">PKR 1,500,000</t>
  </si>
  <si>
    <t xml:space="preserve">Legal + IT + Compliance Officer</t>
  </si>
  <si>
    <t xml:space="preserve">Automated Transaction
Monitoring (Not Built)</t>
  </si>
  <si>
    <t xml:space="preserve">No automated system to flag suspicious transactions; manual review insufficient at scale; required for AML Act compliance and SBP inspection readiness</t>
  </si>
  <si>
    <t xml:space="preserve">Deploy rule-based monitoring Month 2 (flag txns &gt;PKR 200K); upgrade to ML-based anomaly detection Month 4; quarterly tuning review</t>
  </si>
  <si>
    <t xml:space="preserve">Month 2–4</t>
  </si>
  <si>
    <t xml:space="preserve">PKR 2,500,000</t>
  </si>
  <si>
    <t xml:space="preserve">CTO + Compliance Officer</t>
  </si>
  <si>
    <t xml:space="preserve">Arthi Enhanced
Due Diligence (Undefined)</t>
  </si>
  <si>
    <t xml:space="preserve">No EDD programme for arthis as high-volume cash handlers; FATF Rec 12 requires enhanced monitoring; each arthi may handle PKR 50–500K/day</t>
  </si>
  <si>
    <t xml:space="preserve">Design arthi risk-rating model (transaction volume tiers); mandatory source-of-funds docs; biennial site verification; escalation process for red-flag transactions</t>
  </si>
  <si>
    <t xml:space="preserve">Month 1–3
(12 weeks)</t>
  </si>
  <si>
    <t xml:space="preserve">PKR 500,000</t>
  </si>
  <si>
    <t xml:space="preserve">Operations + Compliance</t>
  </si>
  <si>
    <t xml:space="preserve">PDPA 2023 — No DPO
&amp; Incomplete Privacy Docs</t>
  </si>
  <si>
    <t xml:space="preserve">DPO not appointed; privacy notices absent; data processing activities not documented; consent mechanisms not implemented for IVR voice data</t>
  </si>
  <si>
    <t xml:space="preserve">Appoint DPO (internal or outsourced) by Month 2; draft privacy policy; document all processing activities in ROPA; implement consent capture for IVR</t>
  </si>
  <si>
    <t xml:space="preserve">Month 2
(4–6 weeks)</t>
  </si>
  <si>
    <t xml:space="preserve">PKR 600,000</t>
  </si>
  <si>
    <t xml:space="preserve">Legal + IT</t>
  </si>
  <si>
    <t xml:space="preserve">NADRA eKYC MoU
(Not Initiated)</t>
  </si>
  <si>
    <t xml:space="preserve">eKYC API integration requires formal MoU with NADRA; engagement with Ministry of Interior not started; blocks scalable digital onboarding</t>
  </si>
  <si>
    <t xml:space="preserve">Initiate formal NADRA engagement via Ministry of Interior Month 1; prepare legal MoU draft; engage NADRA commercial division; budget for scanners</t>
  </si>
  <si>
    <t xml:space="preserve">Month 1–6
(4–6 months)</t>
  </si>
  <si>
    <t xml:space="preserve">PKR 500,000 legal
+ PKR 7,500,000 hardware</t>
  </si>
  <si>
    <t xml:space="preserve">Management + Legal + IT</t>
  </si>
  <si>
    <t xml:space="preserve">RAAST Sponsoring Bank
MoU (Under Negotiation)</t>
  </si>
  <si>
    <t xml:space="preserve">RAAST sub-member access requires executed commercial bank MoU; without this KisanPay cannot route any RAAST transactions; pilot launch dependency</t>
  </si>
  <si>
    <t xml:space="preserve">Finalize commercial terms with Meezan Bank; legal review of MoU; negotiate SLA for RAAST API uptime; sign by Month 3</t>
  </si>
  <si>
    <t xml:space="preserve">Month 1–3
(8–12 weeks)</t>
  </si>
  <si>
    <t xml:space="preserve">PKR 300,000</t>
  </si>
  <si>
    <t xml:space="preserve">Business Development + Legal</t>
  </si>
  <si>
    <t xml:space="preserve">Tiered KYC — Full
Tier Not Deployed</t>
  </si>
  <si>
    <t xml:space="preserve">Full KYC process designed but not yet deployable; blocks serving farmers with annual transactions ≥ PKR 50,000</t>
  </si>
  <si>
    <t xml:space="preserve">Complete digital KYC workflow in Flutter app and USSD; integrate CNIC verification; design income-proof document upload; test with 50 pilot users before launch</t>
  </si>
  <si>
    <t xml:space="preserve">Month 2–3
(6 weeks)</t>
  </si>
  <si>
    <t xml:space="preserve">PKR 400,000</t>
  </si>
  <si>
    <t xml:space="preserve">IT + Operations</t>
  </si>
  <si>
    <t xml:space="preserve">10-Year Record
Retention (Partial)</t>
  </si>
  <si>
    <t xml:space="preserve">AWS deployment planned but immutable ledger architecture not finalized; SBP inspection readiness requires tested backup and recovery</t>
  </si>
  <si>
    <t xml:space="preserve">Finalize immutable PostgreSQL ledger with SHA-256 row hashing; implement AWS S3 Glacier for archival; document and test backup/recovery quarterly</t>
  </si>
  <si>
    <t xml:space="preserve">Month 3
(4 weeks)</t>
  </si>
  <si>
    <t xml:space="preserve">PKR 200,000/year
(AWS storage)</t>
  </si>
  <si>
    <t xml:space="preserve">CTO + IT</t>
  </si>
  <si>
    <t xml:space="preserve">TOTAL GAPS: 9  |  HIGH: 4  |  Medium: 4  |  Low: 1</t>
  </si>
  <si>
    <t xml:space="preserve">KisanPay — 12-Month Implementation Roadmap (Gantt Chart) | MGT 589 | Final Phase</t>
  </si>
  <si>
    <t xml:space="preserve">● = Active Phase  |  Blue=Compliance  |  Green=Technology  |  Orange=Commercial  |  Purple=Product</t>
  </si>
  <si>
    <t xml:space="preserve">Q1 — Pilot Preparation</t>
  </si>
  <si>
    <t xml:space="preserve">Q2 — Pilot Launch</t>
  </si>
  <si>
    <t xml:space="preserve">Q3 — Punjab Commercial Launch</t>
  </si>
  <si>
    <t xml:space="preserve">Q4 — Sindh Expansion + AI Upgrade</t>
  </si>
  <si>
    <t xml:space="preserve">Initiative / Milestone</t>
  </si>
  <si>
    <t xml:space="preserve">Category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</si>
  <si>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</si>
  <si>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</si>
  <si>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</si>
  <si>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</si>
  <si>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</si>
  <si>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</si>
  <si>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</si>
  <si>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</si>
  <si>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</si>
  <si>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</si>
  <si>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</si>
  <si>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</si>
  <si>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Owner</t>
  </si>
  <si>
    <t xml:space="preserve">Priority</t>
  </si>
  <si>
    <t xml:space="preserve">SBP PSP Licence Filing &amp; Approval</t>
  </si>
  <si>
    <t xml:space="preserve">COMPLIANCE</t>
  </si>
  <si>
    <t xml:space="preserve">●</t>
  </si>
  <si>
    <t xml:space="preserve">CEO + Legal</t>
  </si>
  <si>
    <t xml:space="preserve">CRITICAL</t>
  </si>
  <si>
    <t xml:space="preserve">Business Dev</t>
  </si>
  <si>
    <t xml:space="preserve">SAR Filing + FMU API Integration</t>
  </si>
  <si>
    <t xml:space="preserve">Arthi EDD Programme</t>
  </si>
  <si>
    <t xml:space="preserve">Ops + Compliance</t>
  </si>
  <si>
    <t xml:space="preserve">PDPA Compliance + DPO Appointment</t>
  </si>
  <si>
    <t xml:space="preserve">Legal</t>
  </si>
  <si>
    <t xml:space="preserve">Transaction Monitoring (Rule→ML)</t>
  </si>
  <si>
    <t xml:space="preserve">CTO + Compliance</t>
  </si>
  <si>
    <t xml:space="preserve">NADRA eKYC MoU Engagement</t>
  </si>
  <si>
    <t xml:space="preserve">Management + Legal</t>
  </si>
  <si>
    <t xml:space="preserve">USSD / IVR Platform Development</t>
  </si>
  <si>
    <t xml:space="preserve">TECH</t>
  </si>
  <si>
    <t xml:space="preserve">CTO</t>
  </si>
  <si>
    <t xml:space="preserve">Flutter Arthi App MVP</t>
  </si>
  <si>
    <t xml:space="preserve">CTO + Dev Team</t>
  </si>
  <si>
    <t xml:space="preserve">NADRA eKYC API Integration (Post-MoU)</t>
  </si>
  <si>
    <t xml:space="preserve">IT</t>
  </si>
  <si>
    <t xml:space="preserve">AI Credit Scoring Engine v1.0</t>
  </si>
  <si>
    <t xml:space="preserve">Data Science</t>
  </si>
  <si>
    <t xml:space="preserve">Open Banking API Technical Build</t>
  </si>
  <si>
    <t xml:space="preserve">MEDIUM</t>
  </si>
  <si>
    <t xml:space="preserve">Pilot Launch — 500 Arthis (Multan)</t>
  </si>
  <si>
    <t xml:space="preserve">COMMERCIAL</t>
  </si>
  <si>
    <t xml:space="preserve">COO</t>
  </si>
  <si>
    <t xml:space="preserve">Commercial Launch — Punjab Province</t>
  </si>
  <si>
    <t xml:space="preserve">COO + Sales</t>
  </si>
  <si>
    <t xml:space="preserve">Sindh Expansion (Larkana+Hyderabad)</t>
  </si>
  <si>
    <t xml:space="preserve">Working Capital Advance Product Launch</t>
  </si>
  <si>
    <t xml:space="preserve">PRODUCT</t>
  </si>
  <si>
    <t xml:space="preserve">Product + Legal</t>
  </si>
  <si>
    <t xml:space="preserve">RAAST P2M QR — Input Supplier Rollout</t>
  </si>
  <si>
    <t xml:space="preserve">Product + BD</t>
  </si>
  <si>
    <t xml:space="preserve">Investor Reporting + KPI Dashboard</t>
  </si>
  <si>
    <t xml:space="preserve">CEO + Finance</t>
  </si>
  <si>
    <t xml:space="preserve">KisanPay — KPI Dashboard &amp; Success Metrics | MGT 589 | Final Phase: Section 4.5</t>
  </si>
  <si>
    <t xml:space="preserve">Source: PDF Report Table 4.5  |  All figures verified against Financial Projections sheet</t>
  </si>
  <si>
    <t xml:space="preserve">Key Performance Indicator (KPI)</t>
  </si>
  <si>
    <t xml:space="preserve">Baseline (Current)</t>
  </si>
  <si>
    <t xml:space="preserve">Year 1 Target (2027)</t>
  </si>
  <si>
    <t xml:space="preserve">Year 3 Target (2029)</t>
  </si>
  <si>
    <t xml:space="preserve">Measurement Method</t>
  </si>
  <si>
    <t xml:space="preserve">Review Frequency</t>
  </si>
  <si>
    <t xml:space="preserve">Farmers with digital payment history</t>
  </si>
  <si>
    <t xml:space="preserve">0 farmers</t>
  </si>
  <si>
    <t xml:space="preserve">50,000 farmers</t>
  </si>
  <si>
    <t xml:space="preserve">200,000 farmers</t>
  </si>
  <si>
    <t xml:space="preserve">KisanPay platform database count</t>
  </si>
  <si>
    <t xml:space="preserve">Monthly</t>
  </si>
  <si>
    <t xml:space="preserve">Total transaction volume processed</t>
  </si>
  <si>
    <t xml:space="preserve">PKR 0</t>
  </si>
  <si>
    <t xml:space="preserve">PKR 2.5 billion</t>
  </si>
  <si>
    <t xml:space="preserve">PKR 10 billion+</t>
  </si>
  <si>
    <t xml:space="preserve">RAAST API + platform ledger</t>
  </si>
  <si>
    <t xml:space="preserve">Average payment settlement time</t>
  </si>
  <si>
    <t xml:space="preserve">30–45 days (cheque)</t>
  </si>
  <si>
    <t xml:space="preserve">&lt; 2 minutes (RAAST)</t>
  </si>
  <si>
    <t xml:space="preserve">Real-time: 100%</t>
  </si>
  <si>
    <t xml:space="preserve">Transaction log timestamps</t>
  </si>
  <si>
    <t xml:space="preserve">Weekly</t>
  </si>
  <si>
    <t xml:space="preserve">Farmer formal credit access rate</t>
  </si>
  <si>
    <t xml:space="preserve">12% (SBP baseline)</t>
  </si>
  <si>
    <t xml:space="preserve">18%</t>
  </si>
  <si>
    <t xml:space="preserve">35%</t>
  </si>
  <si>
    <t xml:space="preserve">SBP credit bureau + partner bank referrals</t>
  </si>
  <si>
    <t xml:space="preserve">Quarterly</t>
  </si>
  <si>
    <t xml:space="preserve">Arthi operational cost reduction</t>
  </si>
  <si>
    <t xml:space="preserve">0% (baseline)</t>
  </si>
  <si>
    <t xml:space="preserve">10% reduction</t>
  </si>
  <si>
    <t xml:space="preserve">25% reduction</t>
  </si>
  <si>
    <t xml:space="preserve">Arthi survey + cash logistics audit</t>
  </si>
  <si>
    <t xml:space="preserve">Semi-annual</t>
  </si>
  <si>
    <t xml:space="preserve">Working capital advance NPL rate</t>
  </si>
  <si>
    <t xml:space="preserve">&lt; 5%</t>
  </si>
  <si>
    <t xml:space="preserve">&lt; 3%</t>
  </si>
  <si>
    <t xml:space="preserve">Platform credit book monitoring</t>
  </si>
  <si>
    <t xml:space="preserve">RAAST transaction success rate</t>
  </si>
  <si>
    <t xml:space="preserve">&gt; 99.5%</t>
  </si>
  <si>
    <t xml:space="preserve">&gt; 99.9%</t>
  </si>
  <si>
    <t xml:space="preserve">RAAST API response monitoring</t>
  </si>
  <si>
    <t xml:space="preserve">Daily</t>
  </si>
  <si>
    <t xml:space="preserve">Arthi Net Promoter Score (NPS)</t>
  </si>
  <si>
    <t xml:space="preserve">N/A (no product)</t>
  </si>
  <si>
    <t xml:space="preserve">≥ 7 / 10</t>
  </si>
  <si>
    <t xml:space="preserve">≥ 8.5 / 10</t>
  </si>
  <si>
    <t xml:space="preserve">Quarterly arthi survey (50-sample)</t>
  </si>
  <si>
    <t xml:space="preserve">Regulatory compliance score</t>
  </si>
  <si>
    <t xml:space="preserve">100% pre-launch gaps closed</t>
  </si>
  <si>
    <t xml:space="preserve">Zero enforcement actions</t>
  </si>
  <si>
    <t xml:space="preserve">Internal compliance audit + SBP inspection</t>
  </si>
  <si>
    <t xml:space="preserve">Farmer informal credit cost saved</t>
  </si>
  <si>
    <t xml:space="preserve">PKR 225M (9,000 farmers × PKR 25K)</t>
  </si>
  <si>
    <t xml:space="preserve">PKR 1.125B</t>
  </si>
  <si>
    <t xml:space="preserve">WC advance APR vs. informal rate delta</t>
  </si>
  <si>
    <t xml:space="preserve">Annual</t>
  </si>
  <si>
    <t xml:space="preserve">KisanPay — Payment Flow Diagram | RAAST Variant A (Banked Farmer Crop Sale) | Phase 1: Section 1.8</t>
  </si>
  <si>
    <t xml:space="preserve">Source: PDF Report Figure 1.1  |  Colour codes: Blue=Authorization | Orange=Clearing | Green=Settlement</t>
  </si>
  <si>
    <t xml:space="preserve">ARTHI
(Payer)</t>
  </si>
  <si>
    <t xml:space="preserve">KISANPAY
(Orchestration)</t>
  </si>
  <si>
    <t xml:space="preserve">ISSUING BANK
(Meezan Bank)</t>
  </si>
  <si>
    <t xml:space="preserve">RAAST SWITCH
(SBP)</t>
  </si>
  <si>
    <t xml:space="preserve">ACQUIRING BANK
(UBL/MCB)</t>
  </si>
  <si>
    <t xml:space="preserve">FARMER
(Payee)</t>
  </si>
  <si>
    <t xml:space="preserve">Stage</t>
  </si>
  <si>
    <t xml:space="preserve">Step 1:
Initiates payment
(CNIC + amount)</t>
  </si>
  <si>
    <t xml:space="preserve">→ Receives
payment request</t>
  </si>
  <si>
    <t xml:space="preserve">AUTHORIZATION
Steps 1–4</t>
  </si>
  <si>
    <t xml:space="preserve">Step 2:
Validates request
(CNIC, limits, AML)</t>
  </si>
  <si>
    <t xml:space="preserve">Step 3:
Sends ISO 20022
auth request →</t>
  </si>
  <si>
    <t xml:space="preserve">Step 3:
Receives auth request</t>
  </si>
  <si>
    <t xml:space="preserve">→ Forwards
to RAAST</t>
  </si>
  <si>
    <t xml:space="preserve">Step 4:
Auth confirmed;
transaction locked</t>
  </si>
  <si>
    <t xml:space="preserve">← Confirmed</t>
  </si>
  <si>
    <t xml:space="preserve">← Notified</t>
  </si>
  <si>
    <t xml:space="preserve">Step 5:
Forwards ISO 20022
txn data →</t>
  </si>
  <si>
    <t xml:space="preserve">Step 5:
Receives
txn data</t>
  </si>
  <si>
    <t xml:space="preserve">CLEARING
Steps 5–8</t>
  </si>
  <si>
    <t xml:space="preserve">Step 6:
Validates
farmer account</t>
  </si>
  <si>
    <t xml:space="preserve">← Account
validated</t>
  </si>
  <si>
    <t xml:space="preserve">Step 7 &amp; 8:
KisanPay ledger
SHA-256 hash
recorded</t>
  </si>
  <si>
    <t xml:space="preserve">Step 7:
Interbank obligation
computed at SBP</t>
  </si>
  <si>
    <t xml:space="preserve">Step 9:
SBP debits
Meezan Bank</t>
  </si>
  <si>
    <t xml:space="preserve">Step 9:
SBP executes
funds transfer</t>
  </si>
  <si>
    <t xml:space="preserve">Step 9:
SBP credits
UBL/MCB</t>
  </si>
  <si>
    <t xml:space="preserve">SETTLEMENT
Steps 9–12</t>
  </si>
  <si>
    <t xml:space="preserve">Step 10:
Farmer account
credited</t>
  </si>
  <si>
    <t xml:space="preserve">Step 10:
PKR 120,000
credited;
SMS sent (Urdu)</t>
  </si>
  <si>
    <t xml:space="preserve">Step 11 &amp; 12:
Credit score
updated; arthi
dashboard refreshed</t>
  </si>
  <si>
    <t xml:space="preserve">← pacs.002
confirm sent</t>
  </si>
  <si>
    <t xml:space="preserve">Step 11:
Settlement
confirm
(pacs.002) sent</t>
  </si>
  <si>
    <t xml:space="preserve">Total elapsed time: &lt; 30 seconds from initiation to farmer credit  |  Blue = Authorization (Steps 1–4)  |  Orange = Clearing (Steps 5–8)  |  Green = Settlement (Steps 9–12)</t>
  </si>
  <si>
    <t xml:space="preserve">KisanPay — Revenue &amp; Impact Projections (3-Year) | Final Phase: Strategy</t>
  </si>
  <si>
    <t xml:space="preserve">Revenue Model: 0.5% fee on Working Capital Advances + PKR 500/month Arthi Subscription (Year 2+)  |  All figures in PKR</t>
  </si>
  <si>
    <t xml:space="preserve">Metric</t>
  </si>
  <si>
    <t xml:space="preserve">Assumptions</t>
  </si>
  <si>
    <t xml:space="preserve">Year 1 (2027)</t>
  </si>
  <si>
    <t xml:space="preserve">Year 2 (2028)</t>
  </si>
  <si>
    <t xml:space="preserve">Year 3 (2029)</t>
  </si>
  <si>
    <t xml:space="preserve">CAGR</t>
  </si>
  <si>
    <t xml:space="preserve">Notes</t>
  </si>
  <si>
    <t xml:space="preserve">── ASSUMPTIONS ──</t>
  </si>
  <si>
    <t xml:space="preserve">Fee Rate</t>
  </si>
  <si>
    <t xml:space="preserve">Platform fee on advances</t>
  </si>
  <si>
    <t xml:space="preserve">0.5%</t>
  </si>
  <si>
    <t xml:space="preserve">Source: PDF Report Section 1.1</t>
  </si>
  <si>
    <t xml:space="preserve">Sub Fee</t>
  </si>
  <si>
    <t xml:space="preserve">Arthi monthly subscription</t>
  </si>
  <si>
    <t xml:space="preserve">PKR 0 (free)</t>
  </si>
  <si>
    <t xml:space="preserve">PKR 500/mo</t>
  </si>
  <si>
    <t xml:space="preserve">Free Year 1; paid from Year 2</t>
  </si>
  <si>
    <t xml:space="preserve">Adv %</t>
  </si>
  <si>
    <t xml:space="preserve">Working Capital / Total Vol</t>
  </si>
  <si>
    <t xml:space="preserve">40%</t>
  </si>
  <si>
    <t xml:space="preserve">70% disbursed upfront</t>
  </si>
  <si>
    <t xml:space="preserve">Avg Txn</t>
  </si>
  <si>
    <t xml:space="preserve">Average transaction value</t>
  </si>
  <si>
    <t xml:space="preserve">PKR 80,000</t>
  </si>
  <si>
    <t xml:space="preserve">Blended average across all types</t>
  </si>
  <si>
    <t xml:space="preserve">VOLUME METRICS</t>
  </si>
  <si>
    <t xml:space="preserve">Registered Arthis</t>
  </si>
  <si>
    <t xml:space="preserve">Annual net adds</t>
  </si>
  <si>
    <t xml:space="preserve">Target: 45K total arthis in Pakistan</t>
  </si>
  <si>
    <t xml:space="preserve">Active Farmers (Digital)</t>
  </si>
  <si>
    <t xml:space="preserve">% of arthis × 10</t>
  </si>
  <si>
    <t xml:space="preserve">10 farmers per arthi avg</t>
  </si>
  <si>
    <t xml:space="preserve">Total Transaction Volume (PKR)</t>
  </si>
  <si>
    <t xml:space="preserve">Avg PKR 80K/txn</t>
  </si>
  <si>
    <t xml:space="preserve">PKR 2.5B / 6B / 10B</t>
  </si>
  <si>
    <t xml:space="preserve">Working Capital Advances (PKR)</t>
  </si>
  <si>
    <t xml:space="preserve">40% of transaction volume</t>
  </si>
  <si>
    <t xml:space="preserve">70% disbursed upfront to farmer</t>
  </si>
  <si>
    <t xml:space="preserve">REVENUE</t>
  </si>
  <si>
    <t xml:space="preserve">Platform Fee (0.5% on advances) (PKR)</t>
  </si>
  <si>
    <t xml:space="preserve">0.5% × Working Capital Advances</t>
  </si>
  <si>
    <t xml:space="preserve">Primary Year 1 revenue stream</t>
  </si>
  <si>
    <t xml:space="preserve">Arthi Subscription (PKR 500/month) (PKR)</t>
  </si>
  <si>
    <t xml:space="preserve">PKR 500/mo × registered arthis</t>
  </si>
  <si>
    <t xml:space="preserve">n/a</t>
  </si>
  <si>
    <t xml:space="preserve">Year 2+ only; Year 1 = PKR 0 (free introductory period)</t>
  </si>
  <si>
    <t xml:space="preserve">Total Revenue (PKR)</t>
  </si>
  <si>
    <t xml:space="preserve">Platform Fee + Arthi Subscription</t>
  </si>
  <si>
    <t xml:space="preserve">Year 1 = fee only (PKR 5M); subscription free</t>
  </si>
  <si>
    <t xml:space="preserve">IMPACT METRICS</t>
  </si>
  <si>
    <t xml:space="preserve">Farmer Interest Savings (PKR)</t>
  </si>
  <si>
    <t xml:space="preserve">60%→18% APR delta on WC advances</t>
  </si>
  <si>
    <t xml:space="preserve">PKR saved vs. informal 60% APR borrowing</t>
  </si>
  <si>
    <t xml:space="preserve">Arthi Cash Logistics Saved (PKR)</t>
  </si>
  <si>
    <t xml:space="preserve">PKR 50K/month per arthi eliminated</t>
  </si>
  <si>
    <t xml:space="preserve">Cash logistics cost eliminated by digital payments</t>
  </si>
  <si>
    <t xml:space="preserve">Formal Credit Access Rate</t>
  </si>
  <si>
    <t xml:space="preserve">% farmers with digital payment history</t>
  </si>
  <si>
    <t xml:space="preserve">12%</t>
  </si>
  <si>
    <t xml:space="preserve">22%</t>
  </si>
  <si>
    <t xml:space="preserve">SBP FY2025 baseline: 12%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</si>
</sst>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"/>
    <numFmt numFmtId="167" formatCode="#,##0"/>
    <numFmt numFmtId="168" formatCode="0.0%"/>
    <numFmt numFmtId="169" formatCode="0.0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7F6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CCCCC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833C0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9"/>
      <color rgb="FF6B3FA0"/>
      <name val="Arial"/>
      <family val="0"/>
      <charset val="1"/>
    </font>
    <font>
      <b val="true"/>
      <sz val="10"/>
      <color rgb="FF6B3FA0"/>
      <name val="Arial"/>
      <family val="0"/>
      <charset val="1"/>
    </font>
    <font>
      <sz val="9"/>
      <color rgb="FF00008B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C9A84C"/>
        <bgColor rgb="FFED7D31"/>
      </patternFill>
    </fill>
    <fill>
      <patternFill patternType="solid">
        <fgColor rgb="FFD9E1F2"/>
        <bgColor rgb="FFDEEAF1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FFCCCC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2F5496"/>
        <bgColor rgb="FF2E75B6"/>
      </patternFill>
    </fill>
    <fill>
      <patternFill patternType="solid">
        <fgColor rgb="FF203864"/>
        <bgColor rgb="FF1F3864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FFF2CC"/>
      </patternFill>
    </fill>
    <fill>
      <patternFill patternType="solid">
        <fgColor rgb="FFE8D5F5"/>
        <bgColor rgb="FFD9E1F2"/>
      </patternFill>
    </fill>
    <fill>
      <patternFill patternType="solid">
        <fgColor rgb="FFDEEAF1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800000"/>
      <rgbColor rgb="FF008000"/>
      <rgbColor rgb="FF00008B"/>
      <rgbColor rgb="FF7F6000"/>
      <rgbColor rgb="FF800080"/>
      <rgbColor rgb="FF008080"/>
      <rgbColor rgb="FFCCCCCC"/>
      <rgbColor rgb="FF878787"/>
      <rgbColor rgb="FF9999FF"/>
      <rgbColor rgb="FF6B3F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D9D9"/>
      <rgbColor rgb="FFD9E1F2"/>
      <rgbColor rgb="FFE8D5F5"/>
      <rgbColor rgb="FFFFCCCC"/>
      <rgbColor rgb="FF2E75B6"/>
      <rgbColor rgb="FF33CCCC"/>
      <rgbColor rgb="FF99CC00"/>
      <rgbColor rgb="FFFFCC00"/>
      <rgbColor rgb="FFC9A84C"/>
      <rgbColor rgb="FFED7D31"/>
      <rgbColor rgb="FF4F81BD"/>
      <rgbColor rgb="FF70AD47"/>
      <rgbColor rgb="FF1F3864"/>
      <rgbColor rgb="FF339966"/>
      <rgbColor rgb="FF003300"/>
      <rgbColor rgb="FF375623"/>
      <rgbColor rgb="FF833C00"/>
      <rgbColor rgb="FF993366"/>
      <rgbColor rgb="FF2F5496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KisanPay Technology Weighted Scores (out of 5.00)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"Weighted Score"</c:f>
              <c:strCache>
                <c:ptCount val="1"/>
                <c:pt idx="0">
                  <c:v>Weighted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'Tech Scoring Matrix'!$A$5:$A$13</c:f>
              <c:strCache>
                <c:ptCount val="9"/>
                <c:pt idx="0">
                  <c:v>RAAST P2P / P2M (SBP Real-Time Rail)</c:v>
                </c:pt>
                <c:pt idx="1">
                  <c:v>NADRA eKYC API (Biometric Identity)</c:v>
                </c:pt>
                <c:pt idx="2">
                  <c:v>USSD / IVR Interface (*123#)</c:v>
                </c:pt>
                <c:pt idx="3">
                  <c:v>Flutter Cross-Platform Mobile App (Arthi)</c:v>
                </c:pt>
                <c:pt idx="4">
                  <c:v>RAAST P2M QR Code (Interoperable)</c:v>
                </c:pt>
                <c:pt idx="5">
                  <c:v>AI Alternative Credit Scoring Engine (ML)</c:v>
                </c:pt>
                <c:pt idx="6">
                  <c:v>Open Banking APIs (SBP Open Finance)</c:v>
                </c:pt>
                <c:pt idx="7">
                  <c:v>Agent Cash Network (JazzCash/Easypaisa API)</c:v>
                </c:pt>
                <c:pt idx="8">
                  <c:v>Embedded BNPL / Working Capital Advance</c:v>
                </c:pt>
              </c:strCache>
            </c:strRef>
          </c:cat>
          <c:val>
            <c:numRef>
              <c:f>'Tech Scoring Matrix'!$G$5:$G$13</c:f>
              <c:numCache>
                <c:formatCode>0.00</c:formatCode>
                <c:ptCount val="9"/>
                <c:pt idx="0">
                  <c:v>4.9</c:v>
                </c:pt>
                <c:pt idx="1">
                  <c:v>4.4</c:v>
                </c:pt>
                <c:pt idx="2">
                  <c:v>4.35</c:v>
                </c:pt>
                <c:pt idx="3">
                  <c:v>4.25</c:v>
                </c:pt>
                <c:pt idx="4">
                  <c:v>3.95</c:v>
                </c:pt>
                <c:pt idx="5">
                  <c:v>3.85</c:v>
                </c:pt>
                <c:pt idx="6">
                  <c:v>3.6</c:v>
                </c:pt>
                <c:pt idx="7">
                  <c:v>3.15</c:v>
                </c:pt>
                <c:pt idx="8">
                  <c:v>3.05</c:v>
                </c:pt>
              </c:numCache>
            </c:numRef>
          </c:val>
        </c:ser>
        <c:gapWidth val="150"/>
        <c:overlap val="0"/>
        <c:axId val="1818584"/>
        <c:axId val="88360278"/>
      </c:barChart>
      <c:catAx>
        <c:axId val="181858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Weighted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60278"/>
        <c:crosses val="autoZero"/>
        <c:auto val="1"/>
        <c:lblAlgn val="ctr"/>
        <c:lblOffset val="100"/>
        <c:noMultiLvlLbl val="0"/>
      </c:catAx>
      <c:valAx>
        <c:axId val="88360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Technology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85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8</xdr:col>
      <xdr:colOff>941760</xdr:colOff>
      <xdr:row>37</xdr:row>
      <xdr:rowOff>128520</xdr:rowOff>
    </xdr:to>
    <xdr:graphicFrame>
      <xdr:nvGraphicFramePr>
        <xdr:cNvPr id="0" name="Chart 1"/>
        <xdr:cNvGraphicFramePr/>
      </xdr:nvGraphicFramePr>
      <xdr:xfrm>
        <a:off x="0" y="47242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20"/>
    <col collapsed="false" customWidth="true" hidden="false" outlineLevel="0" max="10" min="10" style="0" width="2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8" hidden="false" customHeight="true" outlineLevel="0" collapsed="false">
      <c r="A4" s="4" t="s">
        <v>12</v>
      </c>
      <c r="B4" s="5" t="n">
        <v>0.3</v>
      </c>
      <c r="C4" s="5" t="n">
        <v>0.25</v>
      </c>
      <c r="D4" s="5" t="n">
        <v>0.2</v>
      </c>
      <c r="E4" s="5" t="n">
        <v>0.15</v>
      </c>
      <c r="F4" s="5" t="n">
        <v>0.1</v>
      </c>
      <c r="G4" s="5" t="n">
        <f aca="false">SUM(B4:F4)</f>
        <v>1</v>
      </c>
      <c r="H4" s="4"/>
      <c r="I4" s="4"/>
      <c r="J4" s="4"/>
    </row>
    <row r="5" customFormat="false" ht="27.75" hidden="false" customHeight="true" outlineLevel="0" collapsed="false">
      <c r="A5" s="6" t="s">
        <v>13</v>
      </c>
      <c r="B5" s="7" t="n">
        <v>5</v>
      </c>
      <c r="C5" s="7" t="n">
        <v>5</v>
      </c>
      <c r="D5" s="7" t="n">
        <v>5</v>
      </c>
      <c r="E5" s="7" t="n">
        <v>5</v>
      </c>
      <c r="F5" s="7" t="n">
        <v>4</v>
      </c>
      <c r="G5" s="8" t="n">
        <f aca="false">B5*$B$4+C5*$C$4+D5*$D$4+E5*$E$4+F5*$F$4</f>
        <v>4.9</v>
      </c>
      <c r="H5" s="7" t="n">
        <f aca="false">RANK(G5,$G$5:$G$13,0)</f>
        <v>1</v>
      </c>
      <c r="I5" s="7" t="s">
        <v>14</v>
      </c>
      <c r="J5" s="9" t="s">
        <v>15</v>
      </c>
    </row>
    <row r="6" customFormat="false" ht="27.75" hidden="false" customHeight="true" outlineLevel="0" collapsed="false">
      <c r="A6" s="10" t="s">
        <v>16</v>
      </c>
      <c r="B6" s="11" t="n">
        <v>3</v>
      </c>
      <c r="C6" s="11" t="n">
        <v>5</v>
      </c>
      <c r="D6" s="11" t="n">
        <v>5</v>
      </c>
      <c r="E6" s="11" t="n">
        <v>5</v>
      </c>
      <c r="F6" s="11" t="n">
        <v>5</v>
      </c>
      <c r="G6" s="12" t="n">
        <f aca="false">B6*$B$4+C6*$C$4+D6*$D$4+E6*$E$4+F6*$F$4</f>
        <v>4.4</v>
      </c>
      <c r="H6" s="11" t="n">
        <f aca="false">RANK(G6,$G$5:$G$13,0)</f>
        <v>2</v>
      </c>
      <c r="I6" s="11" t="s">
        <v>17</v>
      </c>
      <c r="J6" s="9" t="s">
        <v>18</v>
      </c>
    </row>
    <row r="7" customFormat="false" ht="27.75" hidden="false" customHeight="true" outlineLevel="0" collapsed="false">
      <c r="A7" s="6" t="s">
        <v>19</v>
      </c>
      <c r="B7" s="7" t="n">
        <v>5</v>
      </c>
      <c r="C7" s="7" t="n">
        <v>4</v>
      </c>
      <c r="D7" s="7" t="n">
        <v>3</v>
      </c>
      <c r="E7" s="7" t="n">
        <v>5</v>
      </c>
      <c r="F7" s="7" t="n">
        <v>5</v>
      </c>
      <c r="G7" s="8" t="n">
        <f aca="false">B7*$B$4+C7*$C$4+D7*$D$4+E7*$E$4+F7*$F$4</f>
        <v>4.35</v>
      </c>
      <c r="H7" s="7" t="n">
        <f aca="false">RANK(G7,$G$5:$G$13,0)</f>
        <v>3</v>
      </c>
      <c r="I7" s="7" t="s">
        <v>20</v>
      </c>
      <c r="J7" s="13" t="s">
        <v>21</v>
      </c>
    </row>
    <row r="8" customFormat="false" ht="27.75" hidden="false" customHeight="true" outlineLevel="0" collapsed="false">
      <c r="A8" s="10" t="s">
        <v>22</v>
      </c>
      <c r="B8" s="11" t="n">
        <v>4</v>
      </c>
      <c r="C8" s="11" t="n">
        <v>5</v>
      </c>
      <c r="D8" s="11" t="n">
        <v>4</v>
      </c>
      <c r="E8" s="11" t="n">
        <v>4</v>
      </c>
      <c r="F8" s="11" t="n">
        <v>4</v>
      </c>
      <c r="G8" s="12" t="n">
        <f aca="false">B8*$B$4+C8*$C$4+D8*$D$4+E8*$E$4+F8*$F$4</f>
        <v>4.25</v>
      </c>
      <c r="H8" s="11" t="n">
        <f aca="false">RANK(G8,$G$5:$G$13,0)</f>
        <v>4</v>
      </c>
      <c r="I8" s="11" t="s">
        <v>23</v>
      </c>
      <c r="J8" s="14" t="s">
        <v>24</v>
      </c>
    </row>
    <row r="9" customFormat="false" ht="27.75" hidden="false" customHeight="true" outlineLevel="0" collapsed="false">
      <c r="A9" s="6" t="s">
        <v>25</v>
      </c>
      <c r="B9" s="7" t="n">
        <v>5</v>
      </c>
      <c r="C9" s="7" t="n">
        <v>4</v>
      </c>
      <c r="D9" s="7" t="n">
        <v>4</v>
      </c>
      <c r="E9" s="7" t="n">
        <v>3</v>
      </c>
      <c r="F9" s="7" t="n">
        <v>2</v>
      </c>
      <c r="G9" s="8" t="n">
        <f aca="false">B9*$B$4+C9*$C$4+D9*$D$4+E9*$E$4+F9*$F$4</f>
        <v>3.95</v>
      </c>
      <c r="H9" s="7" t="n">
        <f aca="false">RANK(G9,$G$5:$G$13,0)</f>
        <v>5</v>
      </c>
      <c r="I9" s="7" t="s">
        <v>26</v>
      </c>
      <c r="J9" s="13" t="s">
        <v>27</v>
      </c>
    </row>
    <row r="10" customFormat="false" ht="27.75" hidden="false" customHeight="true" outlineLevel="0" collapsed="false">
      <c r="A10" s="10" t="s">
        <v>28</v>
      </c>
      <c r="B10" s="11" t="n">
        <v>3</v>
      </c>
      <c r="C10" s="11" t="n">
        <v>5</v>
      </c>
      <c r="D10" s="11" t="n">
        <v>4</v>
      </c>
      <c r="E10" s="11" t="n">
        <v>4</v>
      </c>
      <c r="F10" s="11" t="n">
        <v>3</v>
      </c>
      <c r="G10" s="12" t="n">
        <f aca="false">B10*$B$4+C10*$C$4+D10*$D$4+E10*$E$4+F10*$F$4</f>
        <v>3.85</v>
      </c>
      <c r="H10" s="11" t="n">
        <f aca="false">RANK(G10,$G$5:$G$13,0)</f>
        <v>6</v>
      </c>
      <c r="I10" s="11" t="s">
        <v>29</v>
      </c>
      <c r="J10" s="14" t="s">
        <v>30</v>
      </c>
    </row>
    <row r="11" customFormat="false" ht="27.75" hidden="false" customHeight="true" outlineLevel="0" collapsed="false">
      <c r="A11" s="6" t="s">
        <v>31</v>
      </c>
      <c r="B11" s="7" t="n">
        <v>3</v>
      </c>
      <c r="C11" s="7" t="n">
        <v>4</v>
      </c>
      <c r="D11" s="7" t="n">
        <v>4</v>
      </c>
      <c r="E11" s="7" t="n">
        <v>4</v>
      </c>
      <c r="F11" s="7" t="n">
        <v>3</v>
      </c>
      <c r="G11" s="8" t="n">
        <f aca="false">B11*$B$4+C11*$C$4+D11*$D$4+E11*$E$4+F11*$F$4</f>
        <v>3.6</v>
      </c>
      <c r="H11" s="7" t="n">
        <f aca="false">RANK(G11,$G$5:$G$13,0)</f>
        <v>7</v>
      </c>
      <c r="I11" s="7" t="s">
        <v>32</v>
      </c>
      <c r="J11" s="13" t="s">
        <v>33</v>
      </c>
    </row>
    <row r="12" customFormat="false" ht="27.75" hidden="false" customHeight="true" outlineLevel="0" collapsed="false">
      <c r="A12" s="10" t="s">
        <v>34</v>
      </c>
      <c r="B12" s="11" t="n">
        <v>3</v>
      </c>
      <c r="C12" s="11" t="n">
        <v>2</v>
      </c>
      <c r="D12" s="11" t="n">
        <v>3</v>
      </c>
      <c r="E12" s="11" t="n">
        <v>5</v>
      </c>
      <c r="F12" s="11" t="n">
        <v>4</v>
      </c>
      <c r="G12" s="12" t="n">
        <f aca="false">B12*$B$4+C12*$C$4+D12*$D$4+E12*$E$4+F12*$F$4</f>
        <v>3.15</v>
      </c>
      <c r="H12" s="11" t="n">
        <f aca="false">RANK(G12,$G$5:$G$13,0)</f>
        <v>8</v>
      </c>
      <c r="I12" s="11" t="s">
        <v>35</v>
      </c>
      <c r="J12" s="15" t="s">
        <v>36</v>
      </c>
    </row>
    <row r="13" customFormat="false" ht="27.75" hidden="false" customHeight="true" outlineLevel="0" collapsed="false">
      <c r="A13" s="6" t="s">
        <v>37</v>
      </c>
      <c r="B13" s="7" t="n">
        <v>2</v>
      </c>
      <c r="C13" s="7" t="n">
        <v>4</v>
      </c>
      <c r="D13" s="7" t="n">
        <v>3</v>
      </c>
      <c r="E13" s="7" t="n">
        <v>3</v>
      </c>
      <c r="F13" s="7" t="n">
        <v>4</v>
      </c>
      <c r="G13" s="8" t="n">
        <f aca="false">B13*$B$4+C13*$C$4+D13*$D$4+E13*$E$4+F13*$F$4</f>
        <v>3.05</v>
      </c>
      <c r="H13" s="7" t="n">
        <f aca="false">RANK(G13,$G$5:$G$13,0)</f>
        <v>9</v>
      </c>
      <c r="I13" s="7" t="s">
        <v>38</v>
      </c>
      <c r="J13" s="15" t="s">
        <v>39</v>
      </c>
    </row>
    <row r="14" customFormat="false" ht="18" hidden="false" customHeight="true" outlineLevel="0" collapsed="false">
      <c r="A14" s="16" t="s">
        <v>40</v>
      </c>
      <c r="B14" s="16"/>
      <c r="C14" s="16"/>
      <c r="D14" s="16"/>
      <c r="E14" s="16"/>
      <c r="F14" s="16"/>
      <c r="G14" s="16"/>
      <c r="H14" s="16"/>
      <c r="I14" s="16"/>
      <c r="J14" s="16"/>
    </row>
  </sheetData>
  <mergeCells count="3">
    <mergeCell ref="A1:J1"/>
    <mergeCell ref="A2:J2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8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1" t="s">
        <v>41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42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</row>
    <row r="4" customFormat="false" ht="36" hidden="false" customHeight="true" outlineLevel="0" collapsed="false">
      <c r="A4" s="4" t="s">
        <v>50</v>
      </c>
      <c r="B4" s="17" t="s">
        <v>51</v>
      </c>
      <c r="C4" s="6" t="s">
        <v>52</v>
      </c>
      <c r="D4" s="6" t="s">
        <v>53</v>
      </c>
      <c r="E4" s="6" t="s">
        <v>54</v>
      </c>
      <c r="F4" s="18" t="s">
        <v>55</v>
      </c>
      <c r="G4" s="18" t="s">
        <v>56</v>
      </c>
    </row>
    <row r="5" customFormat="false" ht="36" hidden="false" customHeight="true" outlineLevel="0" collapsed="false">
      <c r="A5" s="10"/>
      <c r="B5" s="19" t="s">
        <v>57</v>
      </c>
      <c r="C5" s="10" t="s">
        <v>52</v>
      </c>
      <c r="D5" s="10" t="s">
        <v>58</v>
      </c>
      <c r="E5" s="10" t="s">
        <v>59</v>
      </c>
      <c r="F5" s="18" t="s">
        <v>55</v>
      </c>
      <c r="G5" s="18" t="s">
        <v>56</v>
      </c>
    </row>
    <row r="6" customFormat="false" ht="36" hidden="false" customHeight="true" outlineLevel="0" collapsed="false">
      <c r="A6" s="6"/>
      <c r="B6" s="17" t="s">
        <v>60</v>
      </c>
      <c r="C6" s="6" t="s">
        <v>61</v>
      </c>
      <c r="D6" s="6" t="s">
        <v>62</v>
      </c>
      <c r="E6" s="6" t="s">
        <v>63</v>
      </c>
      <c r="F6" s="15" t="s">
        <v>64</v>
      </c>
      <c r="G6" s="15" t="s">
        <v>65</v>
      </c>
    </row>
    <row r="7" customFormat="false" ht="36" hidden="false" customHeight="true" outlineLevel="0" collapsed="false">
      <c r="A7" s="10"/>
      <c r="B7" s="19" t="s">
        <v>66</v>
      </c>
      <c r="C7" s="10" t="s">
        <v>67</v>
      </c>
      <c r="D7" s="10" t="s">
        <v>68</v>
      </c>
      <c r="E7" s="10" t="s">
        <v>69</v>
      </c>
      <c r="F7" s="15" t="s">
        <v>64</v>
      </c>
      <c r="G7" s="15" t="s">
        <v>65</v>
      </c>
    </row>
    <row r="8" customFormat="false" ht="36" hidden="false" customHeight="true" outlineLevel="0" collapsed="false">
      <c r="A8" s="6"/>
      <c r="B8" s="17" t="s">
        <v>70</v>
      </c>
      <c r="C8" s="6" t="s">
        <v>71</v>
      </c>
      <c r="D8" s="6" t="s">
        <v>72</v>
      </c>
      <c r="E8" s="6" t="s">
        <v>73</v>
      </c>
      <c r="F8" s="18" t="s">
        <v>55</v>
      </c>
      <c r="G8" s="18" t="s">
        <v>56</v>
      </c>
    </row>
    <row r="9" customFormat="false" ht="36" hidden="false" customHeight="true" outlineLevel="0" collapsed="false">
      <c r="A9" s="10"/>
      <c r="B9" s="19" t="s">
        <v>74</v>
      </c>
      <c r="C9" s="10" t="s">
        <v>75</v>
      </c>
      <c r="D9" s="10" t="s">
        <v>76</v>
      </c>
      <c r="E9" s="10" t="s">
        <v>77</v>
      </c>
      <c r="F9" s="15" t="s">
        <v>64</v>
      </c>
      <c r="G9" s="15" t="s">
        <v>65</v>
      </c>
    </row>
    <row r="10" customFormat="false" ht="36" hidden="false" customHeight="true" outlineLevel="0" collapsed="false">
      <c r="A10" s="6"/>
      <c r="B10" s="17" t="s">
        <v>78</v>
      </c>
      <c r="C10" s="6" t="s">
        <v>79</v>
      </c>
      <c r="D10" s="6" t="s">
        <v>80</v>
      </c>
      <c r="E10" s="6" t="s">
        <v>81</v>
      </c>
      <c r="F10" s="18" t="s">
        <v>55</v>
      </c>
      <c r="G10" s="9" t="s">
        <v>82</v>
      </c>
    </row>
    <row r="11" customFormat="false" ht="36" hidden="false" customHeight="true" outlineLevel="0" collapsed="false">
      <c r="A11" s="4" t="s">
        <v>83</v>
      </c>
      <c r="B11" s="19" t="s">
        <v>84</v>
      </c>
      <c r="C11" s="10" t="s">
        <v>85</v>
      </c>
      <c r="D11" s="10" t="s">
        <v>86</v>
      </c>
      <c r="E11" s="10" t="s">
        <v>87</v>
      </c>
      <c r="F11" s="15" t="s">
        <v>64</v>
      </c>
      <c r="G11" s="15" t="s">
        <v>65</v>
      </c>
    </row>
    <row r="12" customFormat="false" ht="36" hidden="false" customHeight="true" outlineLevel="0" collapsed="false">
      <c r="A12" s="6"/>
      <c r="B12" s="17" t="s">
        <v>88</v>
      </c>
      <c r="C12" s="6" t="s">
        <v>89</v>
      </c>
      <c r="D12" s="6" t="s">
        <v>90</v>
      </c>
      <c r="E12" s="6" t="s">
        <v>91</v>
      </c>
      <c r="F12" s="20" t="s">
        <v>92</v>
      </c>
      <c r="G12" s="18" t="s">
        <v>56</v>
      </c>
    </row>
    <row r="13" customFormat="false" ht="36" hidden="false" customHeight="true" outlineLevel="0" collapsed="false">
      <c r="A13" s="10"/>
      <c r="B13" s="19" t="s">
        <v>93</v>
      </c>
      <c r="C13" s="10" t="s">
        <v>94</v>
      </c>
      <c r="D13" s="10" t="s">
        <v>95</v>
      </c>
      <c r="E13" s="10" t="s">
        <v>96</v>
      </c>
      <c r="F13" s="18" t="s">
        <v>55</v>
      </c>
      <c r="G13" s="18" t="s">
        <v>56</v>
      </c>
    </row>
    <row r="14" customFormat="false" ht="36" hidden="false" customHeight="true" outlineLevel="0" collapsed="false">
      <c r="A14" s="6"/>
      <c r="B14" s="17" t="s">
        <v>97</v>
      </c>
      <c r="C14" s="6" t="s">
        <v>98</v>
      </c>
      <c r="D14" s="6" t="s">
        <v>99</v>
      </c>
      <c r="E14" s="6" t="s">
        <v>100</v>
      </c>
      <c r="F14" s="15" t="s">
        <v>64</v>
      </c>
      <c r="G14" s="18" t="s">
        <v>56</v>
      </c>
    </row>
    <row r="15" customFormat="false" ht="36" hidden="false" customHeight="true" outlineLevel="0" collapsed="false">
      <c r="A15" s="10"/>
      <c r="B15" s="19" t="s">
        <v>101</v>
      </c>
      <c r="C15" s="10" t="s">
        <v>102</v>
      </c>
      <c r="D15" s="10" t="s">
        <v>103</v>
      </c>
      <c r="E15" s="10" t="s">
        <v>104</v>
      </c>
      <c r="F15" s="9" t="s">
        <v>105</v>
      </c>
      <c r="G15" s="9" t="s">
        <v>106</v>
      </c>
    </row>
    <row r="16" customFormat="false" ht="36" hidden="false" customHeight="true" outlineLevel="0" collapsed="false">
      <c r="A16" s="4" t="s">
        <v>107</v>
      </c>
      <c r="B16" s="17" t="s">
        <v>108</v>
      </c>
      <c r="C16" s="6" t="s">
        <v>109</v>
      </c>
      <c r="D16" s="6" t="s">
        <v>110</v>
      </c>
      <c r="E16" s="6" t="s">
        <v>111</v>
      </c>
      <c r="F16" s="15" t="s">
        <v>64</v>
      </c>
      <c r="G16" s="18" t="s">
        <v>56</v>
      </c>
    </row>
    <row r="17" customFormat="false" ht="36" hidden="false" customHeight="true" outlineLevel="0" collapsed="false">
      <c r="A17" s="10"/>
      <c r="B17" s="19" t="s">
        <v>112</v>
      </c>
      <c r="C17" s="10" t="s">
        <v>113</v>
      </c>
      <c r="D17" s="10" t="s">
        <v>114</v>
      </c>
      <c r="E17" s="10" t="s">
        <v>115</v>
      </c>
      <c r="F17" s="9" t="s">
        <v>105</v>
      </c>
      <c r="G17" s="9" t="s">
        <v>106</v>
      </c>
    </row>
    <row r="18" customFormat="false" ht="36" hidden="false" customHeight="true" outlineLevel="0" collapsed="false">
      <c r="A18" s="6"/>
      <c r="B18" s="17" t="s">
        <v>116</v>
      </c>
      <c r="C18" s="6" t="s">
        <v>117</v>
      </c>
      <c r="D18" s="6" t="s">
        <v>118</v>
      </c>
      <c r="E18" s="6" t="s">
        <v>119</v>
      </c>
      <c r="F18" s="20" t="s">
        <v>120</v>
      </c>
      <c r="G18" s="9" t="s">
        <v>106</v>
      </c>
    </row>
    <row r="19" customFormat="false" ht="36" hidden="false" customHeight="true" outlineLevel="0" collapsed="false">
      <c r="A19" s="4" t="s">
        <v>121</v>
      </c>
      <c r="B19" s="19" t="s">
        <v>122</v>
      </c>
      <c r="C19" s="10" t="s">
        <v>123</v>
      </c>
      <c r="D19" s="10" t="s">
        <v>124</v>
      </c>
      <c r="E19" s="10" t="s">
        <v>125</v>
      </c>
      <c r="F19" s="9" t="s">
        <v>105</v>
      </c>
      <c r="G19" s="9" t="s">
        <v>106</v>
      </c>
    </row>
    <row r="20" customFormat="false" ht="36" hidden="false" customHeight="true" outlineLevel="0" collapsed="false">
      <c r="A20" s="6"/>
      <c r="B20" s="17" t="s">
        <v>126</v>
      </c>
      <c r="C20" s="6" t="s">
        <v>127</v>
      </c>
      <c r="D20" s="6" t="s">
        <v>128</v>
      </c>
      <c r="E20" s="6" t="s">
        <v>129</v>
      </c>
      <c r="F20" s="20" t="s">
        <v>120</v>
      </c>
      <c r="G20" s="9" t="s">
        <v>106</v>
      </c>
    </row>
    <row r="21" customFormat="false" ht="36" hidden="false" customHeight="true" outlineLevel="0" collapsed="false">
      <c r="A21" s="4" t="s">
        <v>130</v>
      </c>
      <c r="B21" s="19" t="s">
        <v>131</v>
      </c>
      <c r="C21" s="10" t="s">
        <v>132</v>
      </c>
      <c r="D21" s="10" t="s">
        <v>133</v>
      </c>
      <c r="E21" s="10" t="s">
        <v>134</v>
      </c>
      <c r="F21" s="20" t="s">
        <v>120</v>
      </c>
      <c r="G21" s="9" t="s">
        <v>106</v>
      </c>
    </row>
    <row r="22" customFormat="false" ht="36" hidden="false" customHeight="true" outlineLevel="0" collapsed="false">
      <c r="A22" s="6"/>
      <c r="B22" s="17" t="s">
        <v>135</v>
      </c>
      <c r="C22" s="6" t="s">
        <v>136</v>
      </c>
      <c r="D22" s="6" t="s">
        <v>137</v>
      </c>
      <c r="E22" s="6" t="s">
        <v>138</v>
      </c>
      <c r="F22" s="20" t="s">
        <v>120</v>
      </c>
      <c r="G22" s="9" t="s">
        <v>106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8"/>
  </cols>
  <sheetData>
    <row r="1" customFormat="false" ht="21.75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141</v>
      </c>
      <c r="B3" s="3" t="s">
        <v>142</v>
      </c>
      <c r="C3" s="3" t="s">
        <v>48</v>
      </c>
      <c r="D3" s="3" t="s">
        <v>143</v>
      </c>
      <c r="E3" s="3" t="s">
        <v>144</v>
      </c>
      <c r="F3" s="3" t="s">
        <v>145</v>
      </c>
      <c r="G3" s="3" t="s">
        <v>146</v>
      </c>
    </row>
    <row r="4" customFormat="false" ht="51.75" hidden="false" customHeight="true" outlineLevel="0" collapsed="false">
      <c r="A4" s="17" t="s">
        <v>147</v>
      </c>
      <c r="B4" s="6" t="s">
        <v>148</v>
      </c>
      <c r="C4" s="15" t="s">
        <v>65</v>
      </c>
      <c r="D4" s="6" t="s">
        <v>149</v>
      </c>
      <c r="E4" s="7" t="s">
        <v>150</v>
      </c>
      <c r="F4" s="7" t="s">
        <v>151</v>
      </c>
      <c r="G4" s="6" t="s">
        <v>152</v>
      </c>
    </row>
    <row r="5" customFormat="false" ht="51.75" hidden="false" customHeight="true" outlineLevel="0" collapsed="false">
      <c r="A5" s="19" t="s">
        <v>153</v>
      </c>
      <c r="B5" s="10" t="s">
        <v>154</v>
      </c>
      <c r="C5" s="15" t="s">
        <v>65</v>
      </c>
      <c r="D5" s="10" t="s">
        <v>155</v>
      </c>
      <c r="E5" s="11" t="s">
        <v>156</v>
      </c>
      <c r="F5" s="11" t="s">
        <v>157</v>
      </c>
      <c r="G5" s="10" t="s">
        <v>158</v>
      </c>
    </row>
    <row r="6" customFormat="false" ht="51.75" hidden="false" customHeight="true" outlineLevel="0" collapsed="false">
      <c r="A6" s="17" t="s">
        <v>159</v>
      </c>
      <c r="B6" s="6" t="s">
        <v>160</v>
      </c>
      <c r="C6" s="15" t="s">
        <v>65</v>
      </c>
      <c r="D6" s="6" t="s">
        <v>161</v>
      </c>
      <c r="E6" s="7" t="s">
        <v>162</v>
      </c>
      <c r="F6" s="7" t="s">
        <v>163</v>
      </c>
      <c r="G6" s="6" t="s">
        <v>164</v>
      </c>
    </row>
    <row r="7" customFormat="false" ht="51.75" hidden="false" customHeight="true" outlineLevel="0" collapsed="false">
      <c r="A7" s="19" t="s">
        <v>165</v>
      </c>
      <c r="B7" s="10" t="s">
        <v>166</v>
      </c>
      <c r="C7" s="15" t="s">
        <v>65</v>
      </c>
      <c r="D7" s="10" t="s">
        <v>167</v>
      </c>
      <c r="E7" s="11" t="s">
        <v>168</v>
      </c>
      <c r="F7" s="11" t="s">
        <v>169</v>
      </c>
      <c r="G7" s="10" t="s">
        <v>170</v>
      </c>
    </row>
    <row r="8" customFormat="false" ht="51.75" hidden="false" customHeight="true" outlineLevel="0" collapsed="false">
      <c r="A8" s="17" t="s">
        <v>171</v>
      </c>
      <c r="B8" s="6" t="s">
        <v>172</v>
      </c>
      <c r="C8" s="18" t="s">
        <v>56</v>
      </c>
      <c r="D8" s="6" t="s">
        <v>173</v>
      </c>
      <c r="E8" s="7" t="s">
        <v>174</v>
      </c>
      <c r="F8" s="7" t="s">
        <v>175</v>
      </c>
      <c r="G8" s="6" t="s">
        <v>176</v>
      </c>
    </row>
    <row r="9" customFormat="false" ht="51.75" hidden="false" customHeight="true" outlineLevel="0" collapsed="false">
      <c r="A9" s="19" t="s">
        <v>177</v>
      </c>
      <c r="B9" s="10" t="s">
        <v>178</v>
      </c>
      <c r="C9" s="18" t="s">
        <v>56</v>
      </c>
      <c r="D9" s="10" t="s">
        <v>179</v>
      </c>
      <c r="E9" s="11" t="s">
        <v>180</v>
      </c>
      <c r="F9" s="11" t="s">
        <v>181</v>
      </c>
      <c r="G9" s="10" t="s">
        <v>182</v>
      </c>
    </row>
    <row r="10" customFormat="false" ht="51.75" hidden="false" customHeight="true" outlineLevel="0" collapsed="false">
      <c r="A10" s="17" t="s">
        <v>183</v>
      </c>
      <c r="B10" s="6" t="s">
        <v>184</v>
      </c>
      <c r="C10" s="18" t="s">
        <v>56</v>
      </c>
      <c r="D10" s="6" t="s">
        <v>185</v>
      </c>
      <c r="E10" s="7" t="s">
        <v>186</v>
      </c>
      <c r="F10" s="7" t="s">
        <v>187</v>
      </c>
      <c r="G10" s="6" t="s">
        <v>188</v>
      </c>
    </row>
    <row r="11" customFormat="false" ht="51.75" hidden="false" customHeight="true" outlineLevel="0" collapsed="false">
      <c r="A11" s="19" t="s">
        <v>189</v>
      </c>
      <c r="B11" s="10" t="s">
        <v>190</v>
      </c>
      <c r="C11" s="18" t="s">
        <v>56</v>
      </c>
      <c r="D11" s="10" t="s">
        <v>191</v>
      </c>
      <c r="E11" s="11" t="s">
        <v>192</v>
      </c>
      <c r="F11" s="11" t="s">
        <v>193</v>
      </c>
      <c r="G11" s="10" t="s">
        <v>194</v>
      </c>
    </row>
    <row r="12" customFormat="false" ht="51.75" hidden="false" customHeight="true" outlineLevel="0" collapsed="false">
      <c r="A12" s="17" t="s">
        <v>195</v>
      </c>
      <c r="B12" s="6" t="s">
        <v>196</v>
      </c>
      <c r="C12" s="9" t="s">
        <v>82</v>
      </c>
      <c r="D12" s="6" t="s">
        <v>197</v>
      </c>
      <c r="E12" s="7" t="s">
        <v>198</v>
      </c>
      <c r="F12" s="7" t="s">
        <v>199</v>
      </c>
      <c r="G12" s="6" t="s">
        <v>200</v>
      </c>
    </row>
    <row r="13" customFormat="false" ht="15" hidden="false" customHeight="true" outlineLevel="0" collapsed="false">
      <c r="A13" s="21" t="s">
        <v>201</v>
      </c>
      <c r="B13" s="21"/>
      <c r="C13" s="22"/>
      <c r="D13" s="22"/>
      <c r="E13" s="22"/>
      <c r="F13" s="22"/>
      <c r="G13" s="22"/>
    </row>
  </sheetData>
  <mergeCells count="3">
    <mergeCell ref="A1:G1"/>
    <mergeCell ref="A2:G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14" min="3" style="0" width="5"/>
    <col collapsed="false" customWidth="true" hidden="false" outlineLevel="0" max="15" min="15" style="0" width="22"/>
    <col collapsed="false" customWidth="true" hidden="false" outlineLevel="0" max="16" min="16" style="0" width="10"/>
  </cols>
  <sheetData>
    <row r="1" customFormat="false" ht="21.75" hidden="false" customHeight="true" outlineLevel="0" collapsed="false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203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2.8" hidden="false" customHeight="true" outlineLevel="0" collapsed="false">
      <c r="C3" s="23" t="s">
        <v>204</v>
      </c>
      <c r="D3" s="23"/>
      <c r="E3" s="23"/>
      <c r="F3" s="24" t="s">
        <v>205</v>
      </c>
      <c r="G3" s="24"/>
      <c r="H3" s="24"/>
      <c r="I3" s="25" t="s">
        <v>206</v>
      </c>
      <c r="J3" s="25"/>
      <c r="K3" s="25"/>
      <c r="L3" s="26" t="s">
        <v>207</v>
      </c>
      <c r="M3" s="26"/>
      <c r="N3" s="26"/>
    </row>
    <row r="4" customFormat="false" ht="31.5" hidden="false" customHeight="true" outlineLevel="0" collapsed="false">
      <c r="A4" s="3" t="s">
        <v>208</v>
      </c>
      <c r="B4" s="3" t="s">
        <v>209</v>
      </c>
      <c r="C4" s="3" t="s">
        <v>210</v>
      </c>
      <c r="D4" s="3" t="s">
        <v>211</v>
      </c>
      <c r="E4" s="3" t="s">
        <v>212</v>
      </c>
      <c r="F4" s="3" t="s">
        <v>213</v>
      </c>
      <c r="G4" s="3" t="s">
        <v>214</v>
      </c>
      <c r="H4" s="3" t="s">
        <v>215</v>
      </c>
      <c r="I4" s="3" t="s">
        <v>216</v>
      </c>
      <c r="J4" s="3" t="s">
        <v>217</v>
      </c>
      <c r="K4" s="3" t="s">
        <v>218</v>
      </c>
      <c r="L4" s="3" t="s">
        <v>219</v>
      </c>
      <c r="M4" s="3" t="s">
        <v>220</v>
      </c>
      <c r="N4" s="3" t="s">
        <v>221</v>
      </c>
      <c r="O4" s="3" t="s">
        <v>222</v>
      </c>
      <c r="P4" s="3" t="s">
        <v>223</v>
      </c>
    </row>
    <row r="5" customFormat="false" ht="21.75" hidden="false" customHeight="true" outlineLevel="0" collapsed="false">
      <c r="A5" s="6" t="s">
        <v>224</v>
      </c>
      <c r="B5" s="27" t="s">
        <v>225</v>
      </c>
      <c r="C5" s="28" t="s">
        <v>226</v>
      </c>
      <c r="D5" s="28" t="s">
        <v>226</v>
      </c>
      <c r="E5" s="28" t="s">
        <v>226</v>
      </c>
      <c r="F5" s="28" t="s">
        <v>226</v>
      </c>
      <c r="G5" s="28" t="s">
        <v>226</v>
      </c>
      <c r="H5" s="28" t="s">
        <v>226</v>
      </c>
      <c r="I5" s="29"/>
      <c r="J5" s="29"/>
      <c r="K5" s="29"/>
      <c r="L5" s="29"/>
      <c r="M5" s="29"/>
      <c r="N5" s="29"/>
      <c r="O5" s="6" t="s">
        <v>227</v>
      </c>
      <c r="P5" s="15" t="s">
        <v>228</v>
      </c>
    </row>
    <row r="6" customFormat="false" ht="21.75" hidden="false" customHeight="true" outlineLevel="0" collapsed="false">
      <c r="A6" s="10" t="s">
        <v>93</v>
      </c>
      <c r="B6" s="27" t="s">
        <v>225</v>
      </c>
      <c r="C6" s="28" t="s">
        <v>226</v>
      </c>
      <c r="D6" s="28" t="s">
        <v>226</v>
      </c>
      <c r="E6" s="28" t="s">
        <v>226</v>
      </c>
      <c r="F6" s="29"/>
      <c r="G6" s="29"/>
      <c r="H6" s="29"/>
      <c r="I6" s="29"/>
      <c r="J6" s="29"/>
      <c r="K6" s="29"/>
      <c r="L6" s="29"/>
      <c r="M6" s="29"/>
      <c r="N6" s="29"/>
      <c r="O6" s="10" t="s">
        <v>229</v>
      </c>
      <c r="P6" s="15" t="s">
        <v>228</v>
      </c>
    </row>
    <row r="7" customFormat="false" ht="21.75" hidden="false" customHeight="true" outlineLevel="0" collapsed="false">
      <c r="A7" s="6" t="s">
        <v>230</v>
      </c>
      <c r="B7" s="27" t="s">
        <v>225</v>
      </c>
      <c r="C7" s="28" t="s">
        <v>226</v>
      </c>
      <c r="D7" s="28" t="s">
        <v>226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6" t="s">
        <v>176</v>
      </c>
      <c r="P7" s="15" t="s">
        <v>228</v>
      </c>
    </row>
    <row r="8" customFormat="false" ht="21.75" hidden="false" customHeight="true" outlineLevel="0" collapsed="false">
      <c r="A8" s="10" t="s">
        <v>231</v>
      </c>
      <c r="B8" s="27" t="s">
        <v>225</v>
      </c>
      <c r="C8" s="28" t="s">
        <v>226</v>
      </c>
      <c r="D8" s="28" t="s">
        <v>226</v>
      </c>
      <c r="E8" s="28" t="s">
        <v>226</v>
      </c>
      <c r="F8" s="29"/>
      <c r="G8" s="29"/>
      <c r="H8" s="29"/>
      <c r="I8" s="29"/>
      <c r="J8" s="29"/>
      <c r="K8" s="29"/>
      <c r="L8" s="29"/>
      <c r="M8" s="29"/>
      <c r="N8" s="29"/>
      <c r="O8" s="10" t="s">
        <v>232</v>
      </c>
      <c r="P8" s="15" t="s">
        <v>228</v>
      </c>
    </row>
    <row r="9" customFormat="false" ht="21.75" hidden="false" customHeight="true" outlineLevel="0" collapsed="false">
      <c r="A9" s="6" t="s">
        <v>233</v>
      </c>
      <c r="B9" s="27" t="s">
        <v>225</v>
      </c>
      <c r="C9" s="29"/>
      <c r="D9" s="28" t="s">
        <v>226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6" t="s">
        <v>234</v>
      </c>
      <c r="P9" s="18" t="s">
        <v>65</v>
      </c>
    </row>
    <row r="10" customFormat="false" ht="21.75" hidden="false" customHeight="true" outlineLevel="0" collapsed="false">
      <c r="A10" s="10" t="s">
        <v>235</v>
      </c>
      <c r="B10" s="27" t="s">
        <v>225</v>
      </c>
      <c r="C10" s="29"/>
      <c r="D10" s="28" t="s">
        <v>226</v>
      </c>
      <c r="E10" s="28" t="s">
        <v>226</v>
      </c>
      <c r="F10" s="28" t="s">
        <v>226</v>
      </c>
      <c r="G10" s="29"/>
      <c r="H10" s="29"/>
      <c r="I10" s="29"/>
      <c r="J10" s="29"/>
      <c r="K10" s="29"/>
      <c r="L10" s="29"/>
      <c r="M10" s="29"/>
      <c r="N10" s="29"/>
      <c r="O10" s="10" t="s">
        <v>236</v>
      </c>
      <c r="P10" s="15" t="s">
        <v>228</v>
      </c>
    </row>
    <row r="11" customFormat="false" ht="21.75" hidden="false" customHeight="true" outlineLevel="0" collapsed="false">
      <c r="A11" s="6" t="s">
        <v>237</v>
      </c>
      <c r="B11" s="27" t="s">
        <v>225</v>
      </c>
      <c r="C11" s="28" t="s">
        <v>226</v>
      </c>
      <c r="D11" s="28" t="s">
        <v>226</v>
      </c>
      <c r="E11" s="28" t="s">
        <v>226</v>
      </c>
      <c r="F11" s="28" t="s">
        <v>226</v>
      </c>
      <c r="G11" s="28" t="s">
        <v>226</v>
      </c>
      <c r="H11" s="28" t="s">
        <v>226</v>
      </c>
      <c r="I11" s="29"/>
      <c r="J11" s="29"/>
      <c r="K11" s="29"/>
      <c r="L11" s="29"/>
      <c r="M11" s="29"/>
      <c r="N11" s="29"/>
      <c r="O11" s="6" t="s">
        <v>238</v>
      </c>
      <c r="P11" s="18" t="s">
        <v>65</v>
      </c>
    </row>
    <row r="12" customFormat="false" ht="21.75" hidden="false" customHeight="true" outlineLevel="0" collapsed="false">
      <c r="A12" s="10" t="s">
        <v>239</v>
      </c>
      <c r="B12" s="9" t="s">
        <v>240</v>
      </c>
      <c r="C12" s="30" t="s">
        <v>226</v>
      </c>
      <c r="D12" s="30" t="s">
        <v>226</v>
      </c>
      <c r="E12" s="30" t="s">
        <v>226</v>
      </c>
      <c r="F12" s="30" t="s">
        <v>226</v>
      </c>
      <c r="G12" s="29"/>
      <c r="H12" s="29"/>
      <c r="I12" s="29"/>
      <c r="J12" s="29"/>
      <c r="K12" s="29"/>
      <c r="L12" s="29"/>
      <c r="M12" s="29"/>
      <c r="N12" s="29"/>
      <c r="O12" s="10" t="s">
        <v>241</v>
      </c>
      <c r="P12" s="15" t="s">
        <v>228</v>
      </c>
    </row>
    <row r="13" customFormat="false" ht="21.75" hidden="false" customHeight="true" outlineLevel="0" collapsed="false">
      <c r="A13" s="6" t="s">
        <v>242</v>
      </c>
      <c r="B13" s="9" t="s">
        <v>240</v>
      </c>
      <c r="C13" s="30" t="s">
        <v>226</v>
      </c>
      <c r="D13" s="30" t="s">
        <v>226</v>
      </c>
      <c r="E13" s="30" t="s">
        <v>226</v>
      </c>
      <c r="F13" s="30" t="s">
        <v>226</v>
      </c>
      <c r="G13" s="30" t="s">
        <v>226</v>
      </c>
      <c r="H13" s="29"/>
      <c r="I13" s="29"/>
      <c r="J13" s="29"/>
      <c r="K13" s="29"/>
      <c r="L13" s="29"/>
      <c r="M13" s="29"/>
      <c r="N13" s="29"/>
      <c r="O13" s="6" t="s">
        <v>243</v>
      </c>
      <c r="P13" s="15" t="s">
        <v>228</v>
      </c>
    </row>
    <row r="14" customFormat="false" ht="21.75" hidden="false" customHeight="true" outlineLevel="0" collapsed="false">
      <c r="A14" s="10" t="s">
        <v>244</v>
      </c>
      <c r="B14" s="9" t="s">
        <v>240</v>
      </c>
      <c r="C14" s="29"/>
      <c r="D14" s="29"/>
      <c r="E14" s="29"/>
      <c r="F14" s="29"/>
      <c r="G14" s="29"/>
      <c r="H14" s="30" t="s">
        <v>226</v>
      </c>
      <c r="I14" s="30" t="s">
        <v>226</v>
      </c>
      <c r="J14" s="30" t="s">
        <v>226</v>
      </c>
      <c r="K14" s="29"/>
      <c r="L14" s="29"/>
      <c r="M14" s="29"/>
      <c r="N14" s="29"/>
      <c r="O14" s="10" t="s">
        <v>245</v>
      </c>
      <c r="P14" s="18" t="s">
        <v>65</v>
      </c>
    </row>
    <row r="15" customFormat="false" ht="21.75" hidden="false" customHeight="true" outlineLevel="0" collapsed="false">
      <c r="A15" s="6" t="s">
        <v>246</v>
      </c>
      <c r="B15" s="9" t="s">
        <v>240</v>
      </c>
      <c r="C15" s="29"/>
      <c r="D15" s="29"/>
      <c r="E15" s="29"/>
      <c r="F15" s="29"/>
      <c r="G15" s="29"/>
      <c r="H15" s="29"/>
      <c r="I15" s="29"/>
      <c r="J15" s="29"/>
      <c r="K15" s="30" t="s">
        <v>226</v>
      </c>
      <c r="L15" s="30" t="s">
        <v>226</v>
      </c>
      <c r="M15" s="30" t="s">
        <v>226</v>
      </c>
      <c r="N15" s="30" t="s">
        <v>226</v>
      </c>
      <c r="O15" s="6" t="s">
        <v>247</v>
      </c>
      <c r="P15" s="18" t="s">
        <v>65</v>
      </c>
    </row>
    <row r="16" customFormat="false" ht="21.75" hidden="false" customHeight="true" outlineLevel="0" collapsed="false">
      <c r="A16" s="10" t="s">
        <v>248</v>
      </c>
      <c r="B16" s="9" t="s">
        <v>240</v>
      </c>
      <c r="C16" s="29"/>
      <c r="D16" s="29"/>
      <c r="E16" s="29"/>
      <c r="F16" s="30" t="s">
        <v>226</v>
      </c>
      <c r="G16" s="30" t="s">
        <v>226</v>
      </c>
      <c r="H16" s="30" t="s">
        <v>226</v>
      </c>
      <c r="I16" s="30" t="s">
        <v>226</v>
      </c>
      <c r="J16" s="30" t="s">
        <v>226</v>
      </c>
      <c r="K16" s="30" t="s">
        <v>226</v>
      </c>
      <c r="L16" s="30" t="s">
        <v>226</v>
      </c>
      <c r="M16" s="30" t="s">
        <v>226</v>
      </c>
      <c r="N16" s="30" t="s">
        <v>226</v>
      </c>
      <c r="O16" s="10" t="s">
        <v>241</v>
      </c>
      <c r="P16" s="9" t="s">
        <v>249</v>
      </c>
    </row>
    <row r="17" customFormat="false" ht="21.75" hidden="false" customHeight="true" outlineLevel="0" collapsed="false">
      <c r="A17" s="6" t="s">
        <v>250</v>
      </c>
      <c r="B17" s="31" t="s">
        <v>251</v>
      </c>
      <c r="C17" s="29"/>
      <c r="D17" s="29"/>
      <c r="E17" s="29"/>
      <c r="F17" s="32" t="s">
        <v>226</v>
      </c>
      <c r="G17" s="32" t="s">
        <v>226</v>
      </c>
      <c r="H17" s="32" t="s">
        <v>226</v>
      </c>
      <c r="I17" s="29"/>
      <c r="J17" s="29"/>
      <c r="K17" s="29"/>
      <c r="L17" s="29"/>
      <c r="M17" s="29"/>
      <c r="N17" s="29"/>
      <c r="O17" s="6" t="s">
        <v>252</v>
      </c>
      <c r="P17" s="15" t="s">
        <v>228</v>
      </c>
    </row>
    <row r="18" customFormat="false" ht="21.75" hidden="false" customHeight="true" outlineLevel="0" collapsed="false">
      <c r="A18" s="10" t="s">
        <v>253</v>
      </c>
      <c r="B18" s="31" t="s">
        <v>251</v>
      </c>
      <c r="C18" s="29"/>
      <c r="D18" s="29"/>
      <c r="E18" s="29"/>
      <c r="F18" s="29"/>
      <c r="G18" s="29"/>
      <c r="H18" s="29"/>
      <c r="I18" s="32" t="s">
        <v>226</v>
      </c>
      <c r="J18" s="32" t="s">
        <v>226</v>
      </c>
      <c r="K18" s="32" t="s">
        <v>226</v>
      </c>
      <c r="L18" s="29"/>
      <c r="M18" s="29"/>
      <c r="N18" s="29"/>
      <c r="O18" s="10" t="s">
        <v>254</v>
      </c>
      <c r="P18" s="18" t="s">
        <v>65</v>
      </c>
    </row>
    <row r="19" customFormat="false" ht="21.75" hidden="false" customHeight="true" outlineLevel="0" collapsed="false">
      <c r="A19" s="6" t="s">
        <v>255</v>
      </c>
      <c r="B19" s="31" t="s">
        <v>251</v>
      </c>
      <c r="C19" s="29"/>
      <c r="D19" s="29"/>
      <c r="E19" s="29"/>
      <c r="F19" s="29"/>
      <c r="G19" s="29"/>
      <c r="H19" s="29"/>
      <c r="I19" s="29"/>
      <c r="J19" s="29"/>
      <c r="K19" s="29"/>
      <c r="L19" s="32" t="s">
        <v>226</v>
      </c>
      <c r="M19" s="32" t="s">
        <v>226</v>
      </c>
      <c r="N19" s="32" t="s">
        <v>226</v>
      </c>
      <c r="O19" s="6" t="s">
        <v>254</v>
      </c>
      <c r="P19" s="18" t="s">
        <v>65</v>
      </c>
    </row>
    <row r="20" customFormat="false" ht="21.75" hidden="false" customHeight="true" outlineLevel="0" collapsed="false">
      <c r="A20" s="10" t="s">
        <v>256</v>
      </c>
      <c r="B20" s="33" t="s">
        <v>257</v>
      </c>
      <c r="C20" s="29"/>
      <c r="D20" s="29"/>
      <c r="E20" s="29"/>
      <c r="F20" s="29"/>
      <c r="G20" s="29"/>
      <c r="H20" s="34" t="s">
        <v>226</v>
      </c>
      <c r="I20" s="34" t="s">
        <v>226</v>
      </c>
      <c r="J20" s="29"/>
      <c r="K20" s="29"/>
      <c r="L20" s="29"/>
      <c r="M20" s="29"/>
      <c r="N20" s="29"/>
      <c r="O20" s="10" t="s">
        <v>258</v>
      </c>
      <c r="P20" s="18" t="s">
        <v>65</v>
      </c>
    </row>
    <row r="21" customFormat="false" ht="21.75" hidden="false" customHeight="true" outlineLevel="0" collapsed="false">
      <c r="A21" s="6" t="s">
        <v>259</v>
      </c>
      <c r="B21" s="33" t="s">
        <v>257</v>
      </c>
      <c r="C21" s="29"/>
      <c r="D21" s="29"/>
      <c r="E21" s="29"/>
      <c r="F21" s="29"/>
      <c r="G21" s="29"/>
      <c r="H21" s="29"/>
      <c r="I21" s="29"/>
      <c r="J21" s="29"/>
      <c r="K21" s="29"/>
      <c r="L21" s="34" t="s">
        <v>226</v>
      </c>
      <c r="M21" s="34" t="s">
        <v>226</v>
      </c>
      <c r="N21" s="34" t="s">
        <v>226</v>
      </c>
      <c r="O21" s="6" t="s">
        <v>260</v>
      </c>
      <c r="P21" s="9" t="s">
        <v>249</v>
      </c>
    </row>
    <row r="22" customFormat="false" ht="21.75" hidden="false" customHeight="true" outlineLevel="0" collapsed="false">
      <c r="A22" s="10" t="s">
        <v>261</v>
      </c>
      <c r="B22" s="33" t="s">
        <v>257</v>
      </c>
      <c r="C22" s="29"/>
      <c r="D22" s="29"/>
      <c r="E22" s="34" t="s">
        <v>226</v>
      </c>
      <c r="F22" s="29"/>
      <c r="G22" s="29"/>
      <c r="H22" s="34" t="s">
        <v>226</v>
      </c>
      <c r="I22" s="29"/>
      <c r="J22" s="29"/>
      <c r="K22" s="34" t="s">
        <v>226</v>
      </c>
      <c r="L22" s="29"/>
      <c r="M22" s="29"/>
      <c r="N22" s="34" t="s">
        <v>226</v>
      </c>
      <c r="O22" s="10" t="s">
        <v>262</v>
      </c>
      <c r="P22" s="9" t="s">
        <v>249</v>
      </c>
    </row>
  </sheetData>
  <mergeCells count="6">
    <mergeCell ref="A1:P1"/>
    <mergeCell ref="A2:P2"/>
    <mergeCell ref="C3:E3"/>
    <mergeCell ref="F3:H3"/>
    <mergeCell ref="I3:K3"/>
    <mergeCell ref="L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263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264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3" t="s">
        <v>265</v>
      </c>
      <c r="B3" s="3" t="s">
        <v>266</v>
      </c>
      <c r="C3" s="3" t="s">
        <v>267</v>
      </c>
      <c r="D3" s="3" t="s">
        <v>268</v>
      </c>
      <c r="E3" s="3" t="s">
        <v>269</v>
      </c>
      <c r="F3" s="3" t="s">
        <v>270</v>
      </c>
    </row>
    <row r="4" customFormat="false" ht="27.75" hidden="false" customHeight="true" outlineLevel="0" collapsed="false">
      <c r="A4" s="17" t="s">
        <v>271</v>
      </c>
      <c r="B4" s="7" t="s">
        <v>272</v>
      </c>
      <c r="C4" s="7" t="s">
        <v>273</v>
      </c>
      <c r="D4" s="7" t="s">
        <v>274</v>
      </c>
      <c r="E4" s="6" t="s">
        <v>275</v>
      </c>
      <c r="F4" s="6" t="s">
        <v>276</v>
      </c>
    </row>
    <row r="5" customFormat="false" ht="27.75" hidden="false" customHeight="true" outlineLevel="0" collapsed="false">
      <c r="A5" s="19" t="s">
        <v>277</v>
      </c>
      <c r="B5" s="11" t="s">
        <v>278</v>
      </c>
      <c r="C5" s="11" t="s">
        <v>279</v>
      </c>
      <c r="D5" s="11" t="s">
        <v>280</v>
      </c>
      <c r="E5" s="10" t="s">
        <v>281</v>
      </c>
      <c r="F5" s="10" t="s">
        <v>276</v>
      </c>
    </row>
    <row r="6" customFormat="false" ht="27.75" hidden="false" customHeight="true" outlineLevel="0" collapsed="false">
      <c r="A6" s="17" t="s">
        <v>282</v>
      </c>
      <c r="B6" s="7" t="s">
        <v>283</v>
      </c>
      <c r="C6" s="7" t="s">
        <v>284</v>
      </c>
      <c r="D6" s="7" t="s">
        <v>285</v>
      </c>
      <c r="E6" s="6" t="s">
        <v>286</v>
      </c>
      <c r="F6" s="6" t="s">
        <v>287</v>
      </c>
    </row>
    <row r="7" customFormat="false" ht="27.75" hidden="false" customHeight="true" outlineLevel="0" collapsed="false">
      <c r="A7" s="19" t="s">
        <v>288</v>
      </c>
      <c r="B7" s="11" t="s">
        <v>289</v>
      </c>
      <c r="C7" s="11" t="s">
        <v>290</v>
      </c>
      <c r="D7" s="11" t="s">
        <v>291</v>
      </c>
      <c r="E7" s="10" t="s">
        <v>292</v>
      </c>
      <c r="F7" s="10" t="s">
        <v>293</v>
      </c>
    </row>
    <row r="8" customFormat="false" ht="27.75" hidden="false" customHeight="true" outlineLevel="0" collapsed="false">
      <c r="A8" s="17" t="s">
        <v>294</v>
      </c>
      <c r="B8" s="7" t="s">
        <v>295</v>
      </c>
      <c r="C8" s="7" t="s">
        <v>296</v>
      </c>
      <c r="D8" s="7" t="s">
        <v>297</v>
      </c>
      <c r="E8" s="6" t="s">
        <v>298</v>
      </c>
      <c r="F8" s="6" t="s">
        <v>299</v>
      </c>
    </row>
    <row r="9" customFormat="false" ht="27.75" hidden="false" customHeight="true" outlineLevel="0" collapsed="false">
      <c r="A9" s="19" t="s">
        <v>300</v>
      </c>
      <c r="B9" s="11" t="s">
        <v>120</v>
      </c>
      <c r="C9" s="11" t="s">
        <v>301</v>
      </c>
      <c r="D9" s="11" t="s">
        <v>302</v>
      </c>
      <c r="E9" s="10" t="s">
        <v>303</v>
      </c>
      <c r="F9" s="10" t="s">
        <v>276</v>
      </c>
    </row>
    <row r="10" customFormat="false" ht="27.75" hidden="false" customHeight="true" outlineLevel="0" collapsed="false">
      <c r="A10" s="17" t="s">
        <v>304</v>
      </c>
      <c r="B10" s="7" t="s">
        <v>120</v>
      </c>
      <c r="C10" s="7" t="s">
        <v>305</v>
      </c>
      <c r="D10" s="7" t="s">
        <v>306</v>
      </c>
      <c r="E10" s="6" t="s">
        <v>307</v>
      </c>
      <c r="F10" s="6" t="s">
        <v>308</v>
      </c>
    </row>
    <row r="11" customFormat="false" ht="27.75" hidden="false" customHeight="true" outlineLevel="0" collapsed="false">
      <c r="A11" s="19" t="s">
        <v>309</v>
      </c>
      <c r="B11" s="11" t="s">
        <v>310</v>
      </c>
      <c r="C11" s="11" t="s">
        <v>311</v>
      </c>
      <c r="D11" s="11" t="s">
        <v>312</v>
      </c>
      <c r="E11" s="10" t="s">
        <v>313</v>
      </c>
      <c r="F11" s="10" t="s">
        <v>293</v>
      </c>
    </row>
    <row r="12" customFormat="false" ht="27.75" hidden="false" customHeight="true" outlineLevel="0" collapsed="false">
      <c r="A12" s="17" t="s">
        <v>314</v>
      </c>
      <c r="B12" s="7" t="s">
        <v>120</v>
      </c>
      <c r="C12" s="7" t="s">
        <v>315</v>
      </c>
      <c r="D12" s="7" t="s">
        <v>316</v>
      </c>
      <c r="E12" s="6" t="s">
        <v>317</v>
      </c>
      <c r="F12" s="6" t="s">
        <v>276</v>
      </c>
    </row>
    <row r="13" customFormat="false" ht="27.75" hidden="false" customHeight="true" outlineLevel="0" collapsed="false">
      <c r="A13" s="19" t="s">
        <v>318</v>
      </c>
      <c r="B13" s="11" t="s">
        <v>278</v>
      </c>
      <c r="C13" s="11" t="s">
        <v>319</v>
      </c>
      <c r="D13" s="11" t="s">
        <v>320</v>
      </c>
      <c r="E13" s="10" t="s">
        <v>321</v>
      </c>
      <c r="F13" s="10" t="s">
        <v>322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1" t="s">
        <v>323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324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35" t="s">
        <v>325</v>
      </c>
      <c r="B3" s="35" t="s">
        <v>326</v>
      </c>
      <c r="C3" s="35" t="s">
        <v>327</v>
      </c>
      <c r="D3" s="35" t="s">
        <v>328</v>
      </c>
      <c r="E3" s="35" t="s">
        <v>329</v>
      </c>
      <c r="F3" s="35" t="s">
        <v>330</v>
      </c>
      <c r="G3" s="35" t="s">
        <v>331</v>
      </c>
    </row>
    <row r="4" customFormat="false" ht="49.5" hidden="false" customHeight="true" outlineLevel="0" collapsed="false">
      <c r="A4" s="36" t="s">
        <v>332</v>
      </c>
      <c r="B4" s="36" t="s">
        <v>333</v>
      </c>
      <c r="C4" s="37"/>
      <c r="D4" s="37"/>
      <c r="E4" s="37"/>
      <c r="F4" s="37"/>
      <c r="G4" s="38" t="s">
        <v>334</v>
      </c>
    </row>
    <row r="5" customFormat="false" ht="49.5" hidden="false" customHeight="true" outlineLevel="0" collapsed="false">
      <c r="A5" s="37"/>
      <c r="B5" s="36" t="s">
        <v>335</v>
      </c>
      <c r="C5" s="37"/>
      <c r="D5" s="37"/>
      <c r="E5" s="37"/>
      <c r="F5" s="37"/>
      <c r="G5" s="36"/>
    </row>
    <row r="6" customFormat="false" ht="49.5" hidden="false" customHeight="true" outlineLevel="0" collapsed="false">
      <c r="A6" s="37"/>
      <c r="B6" s="36" t="s">
        <v>336</v>
      </c>
      <c r="C6" s="36" t="s">
        <v>337</v>
      </c>
      <c r="D6" s="36" t="s">
        <v>338</v>
      </c>
      <c r="E6" s="37"/>
      <c r="F6" s="37"/>
      <c r="G6" s="36"/>
    </row>
    <row r="7" customFormat="false" ht="49.5" hidden="false" customHeight="true" outlineLevel="0" collapsed="false">
      <c r="A7" s="37"/>
      <c r="B7" s="37"/>
      <c r="C7" s="37"/>
      <c r="D7" s="36" t="s">
        <v>339</v>
      </c>
      <c r="E7" s="36" t="s">
        <v>340</v>
      </c>
      <c r="F7" s="36" t="s">
        <v>341</v>
      </c>
      <c r="G7" s="36"/>
    </row>
    <row r="8" customFormat="false" ht="49.5" hidden="false" customHeight="true" outlineLevel="0" collapsed="false">
      <c r="A8" s="39"/>
      <c r="B8" s="39"/>
      <c r="C8" s="39"/>
      <c r="D8" s="40" t="s">
        <v>342</v>
      </c>
      <c r="E8" s="40" t="s">
        <v>343</v>
      </c>
      <c r="F8" s="39"/>
      <c r="G8" s="41" t="s">
        <v>344</v>
      </c>
    </row>
    <row r="9" customFormat="false" ht="49.5" hidden="false" customHeight="true" outlineLevel="0" collapsed="false">
      <c r="A9" s="39"/>
      <c r="B9" s="39"/>
      <c r="C9" s="39"/>
      <c r="D9" s="39"/>
      <c r="E9" s="40" t="s">
        <v>345</v>
      </c>
      <c r="F9" s="40" t="s">
        <v>346</v>
      </c>
      <c r="G9" s="40"/>
    </row>
    <row r="10" customFormat="false" ht="49.5" hidden="false" customHeight="true" outlineLevel="0" collapsed="false">
      <c r="A10" s="39"/>
      <c r="B10" s="40" t="s">
        <v>347</v>
      </c>
      <c r="C10" s="39"/>
      <c r="D10" s="40" t="s">
        <v>348</v>
      </c>
      <c r="E10" s="39"/>
      <c r="F10" s="39"/>
      <c r="G10" s="40"/>
    </row>
    <row r="11" customFormat="false" ht="49.5" hidden="false" customHeight="true" outlineLevel="0" collapsed="false">
      <c r="A11" s="42"/>
      <c r="B11" s="42"/>
      <c r="C11" s="43" t="s">
        <v>349</v>
      </c>
      <c r="D11" s="43" t="s">
        <v>350</v>
      </c>
      <c r="E11" s="43" t="s">
        <v>351</v>
      </c>
      <c r="F11" s="42"/>
      <c r="G11" s="44" t="s">
        <v>352</v>
      </c>
    </row>
    <row r="12" customFormat="false" ht="49.5" hidden="false" customHeight="true" outlineLevel="0" collapsed="false">
      <c r="A12" s="42"/>
      <c r="B12" s="42"/>
      <c r="C12" s="42"/>
      <c r="D12" s="42"/>
      <c r="E12" s="43" t="s">
        <v>353</v>
      </c>
      <c r="F12" s="43" t="s">
        <v>354</v>
      </c>
      <c r="G12" s="43"/>
    </row>
    <row r="13" customFormat="false" ht="49.5" hidden="false" customHeight="true" outlineLevel="0" collapsed="false">
      <c r="A13" s="42"/>
      <c r="B13" s="43" t="s">
        <v>355</v>
      </c>
      <c r="C13" s="43" t="s">
        <v>356</v>
      </c>
      <c r="D13" s="43" t="s">
        <v>357</v>
      </c>
      <c r="E13" s="42"/>
      <c r="F13" s="42"/>
      <c r="G13" s="43"/>
    </row>
    <row r="14" customFormat="false" ht="18" hidden="false" customHeight="true" outlineLevel="0" collapsed="false">
      <c r="A14" s="45" t="s">
        <v>358</v>
      </c>
      <c r="B14" s="45"/>
      <c r="C14" s="45"/>
      <c r="D14" s="45"/>
      <c r="E14" s="45"/>
      <c r="F14" s="45"/>
      <c r="G14" s="45"/>
    </row>
  </sheetData>
  <mergeCells count="3">
    <mergeCell ref="A1:G1"/>
    <mergeCell ref="A2:G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10"/>
    <col collapsed="false" customWidth="true" hidden="false" outlineLevel="0" max="7" min="7" style="0" width="42"/>
  </cols>
  <sheetData>
    <row r="1" customFormat="false" ht="21.75" hidden="false" customHeight="true" outlineLevel="0" collapsed="false">
      <c r="A1" s="1" t="s">
        <v>359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360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361</v>
      </c>
      <c r="B3" s="3" t="s">
        <v>362</v>
      </c>
      <c r="C3" s="3" t="s">
        <v>363</v>
      </c>
      <c r="D3" s="3" t="s">
        <v>364</v>
      </c>
      <c r="E3" s="3" t="s">
        <v>365</v>
      </c>
      <c r="F3" s="3" t="s">
        <v>366</v>
      </c>
      <c r="G3" s="3" t="s">
        <v>367</v>
      </c>
    </row>
    <row r="4" customFormat="false" ht="18" hidden="false" customHeight="true" outlineLevel="0" collapsed="false">
      <c r="A4" s="46"/>
      <c r="B4" s="46" t="s">
        <v>368</v>
      </c>
      <c r="C4" s="46"/>
      <c r="D4" s="46"/>
      <c r="E4" s="46"/>
      <c r="F4" s="46"/>
      <c r="G4" s="46"/>
    </row>
    <row r="5" customFormat="false" ht="18" hidden="false" customHeight="true" outlineLevel="0" collapsed="false">
      <c r="A5" s="47" t="s">
        <v>369</v>
      </c>
      <c r="B5" s="47" t="s">
        <v>370</v>
      </c>
      <c r="C5" s="47" t="s">
        <v>371</v>
      </c>
      <c r="D5" s="47" t="s">
        <v>371</v>
      </c>
      <c r="E5" s="47" t="s">
        <v>371</v>
      </c>
      <c r="F5" s="47"/>
      <c r="G5" s="47" t="s">
        <v>372</v>
      </c>
    </row>
    <row r="6" customFormat="false" ht="18" hidden="false" customHeight="true" outlineLevel="0" collapsed="false">
      <c r="A6" s="48" t="s">
        <v>373</v>
      </c>
      <c r="B6" s="48" t="s">
        <v>374</v>
      </c>
      <c r="C6" s="48" t="s">
        <v>375</v>
      </c>
      <c r="D6" s="48" t="s">
        <v>376</v>
      </c>
      <c r="E6" s="48" t="s">
        <v>376</v>
      </c>
      <c r="F6" s="48"/>
      <c r="G6" s="48" t="s">
        <v>377</v>
      </c>
    </row>
    <row r="7" customFormat="false" ht="18" hidden="false" customHeight="true" outlineLevel="0" collapsed="false">
      <c r="A7" s="47" t="s">
        <v>378</v>
      </c>
      <c r="B7" s="47" t="s">
        <v>379</v>
      </c>
      <c r="C7" s="47" t="s">
        <v>380</v>
      </c>
      <c r="D7" s="47" t="s">
        <v>380</v>
      </c>
      <c r="E7" s="47" t="s">
        <v>380</v>
      </c>
      <c r="F7" s="47"/>
      <c r="G7" s="47" t="s">
        <v>381</v>
      </c>
    </row>
    <row r="8" customFormat="false" ht="18" hidden="false" customHeight="true" outlineLevel="0" collapsed="false">
      <c r="A8" s="48" t="s">
        <v>382</v>
      </c>
      <c r="B8" s="48" t="s">
        <v>383</v>
      </c>
      <c r="C8" s="48" t="s">
        <v>384</v>
      </c>
      <c r="D8" s="48" t="s">
        <v>384</v>
      </c>
      <c r="E8" s="48" t="s">
        <v>384</v>
      </c>
      <c r="F8" s="48"/>
      <c r="G8" s="48" t="s">
        <v>385</v>
      </c>
    </row>
    <row r="9" customFormat="false" ht="15" hidden="false" customHeight="false" outlineLevel="0" collapsed="false">
      <c r="A9" s="49"/>
      <c r="B9" s="49"/>
      <c r="C9" s="49"/>
      <c r="D9" s="49"/>
      <c r="E9" s="49"/>
      <c r="F9" s="49"/>
      <c r="G9" s="49"/>
    </row>
    <row r="10" customFormat="false" ht="18" hidden="false" customHeight="true" outlineLevel="0" collapsed="false">
      <c r="A10" s="21" t="s">
        <v>386</v>
      </c>
      <c r="B10" s="21"/>
      <c r="C10" s="21"/>
      <c r="D10" s="21"/>
      <c r="E10" s="21"/>
      <c r="F10" s="21"/>
      <c r="G10" s="21"/>
    </row>
    <row r="11" customFormat="false" ht="21.75" hidden="false" customHeight="true" outlineLevel="0" collapsed="false">
      <c r="A11" s="17" t="s">
        <v>387</v>
      </c>
      <c r="B11" s="6" t="s">
        <v>388</v>
      </c>
      <c r="C11" s="50" t="n">
        <v>5000</v>
      </c>
      <c r="D11" s="50" t="n">
        <v>20000</v>
      </c>
      <c r="E11" s="50" t="n">
        <v>45000</v>
      </c>
      <c r="F11" s="51" t="n">
        <f aca="false">(E11/C11)^(1/2)-1</f>
        <v>2</v>
      </c>
      <c r="G11" s="6" t="s">
        <v>389</v>
      </c>
    </row>
    <row r="12" customFormat="false" ht="21.75" hidden="false" customHeight="true" outlineLevel="0" collapsed="false">
      <c r="A12" s="19" t="s">
        <v>390</v>
      </c>
      <c r="B12" s="10" t="s">
        <v>391</v>
      </c>
      <c r="C12" s="52" t="n">
        <v>50000</v>
      </c>
      <c r="D12" s="52" t="n">
        <v>150000</v>
      </c>
      <c r="E12" s="52" t="n">
        <v>200000</v>
      </c>
      <c r="F12" s="53" t="n">
        <f aca="false">(E12/C12)^(1/2)-1</f>
        <v>1</v>
      </c>
      <c r="G12" s="10" t="s">
        <v>392</v>
      </c>
    </row>
    <row r="13" customFormat="false" ht="21.75" hidden="false" customHeight="true" outlineLevel="0" collapsed="false">
      <c r="A13" s="17" t="s">
        <v>393</v>
      </c>
      <c r="B13" s="6" t="s">
        <v>394</v>
      </c>
      <c r="C13" s="50" t="n">
        <v>2500000000</v>
      </c>
      <c r="D13" s="50" t="n">
        <v>6000000000</v>
      </c>
      <c r="E13" s="50" t="n">
        <v>10000000000</v>
      </c>
      <c r="F13" s="51" t="n">
        <f aca="false">(E13/C13)^(1/2)-1</f>
        <v>1</v>
      </c>
      <c r="G13" s="6" t="s">
        <v>395</v>
      </c>
    </row>
    <row r="14" customFormat="false" ht="21.75" hidden="false" customHeight="true" outlineLevel="0" collapsed="false">
      <c r="A14" s="19" t="s">
        <v>396</v>
      </c>
      <c r="B14" s="10" t="s">
        <v>397</v>
      </c>
      <c r="C14" s="11" t="n">
        <f aca="false">C13*0.4</f>
        <v>1000000000</v>
      </c>
      <c r="D14" s="11" t="n">
        <f aca="false">D13*0.4</f>
        <v>2400000000</v>
      </c>
      <c r="E14" s="11" t="n">
        <f aca="false">E13*0.4</f>
        <v>4000000000</v>
      </c>
      <c r="F14" s="53" t="n">
        <f aca="false">(E14/C14)^(1/2)-1</f>
        <v>1</v>
      </c>
      <c r="G14" s="10" t="s">
        <v>398</v>
      </c>
    </row>
    <row r="15" customFormat="false" ht="18" hidden="false" customHeight="true" outlineLevel="0" collapsed="false">
      <c r="A15" s="21" t="s">
        <v>399</v>
      </c>
      <c r="B15" s="21"/>
      <c r="C15" s="21"/>
      <c r="D15" s="21"/>
      <c r="E15" s="21"/>
      <c r="F15" s="21"/>
      <c r="G15" s="21"/>
    </row>
    <row r="16" customFormat="false" ht="21.75" hidden="false" customHeight="true" outlineLevel="0" collapsed="false">
      <c r="A16" s="19" t="s">
        <v>400</v>
      </c>
      <c r="B16" s="10" t="s">
        <v>401</v>
      </c>
      <c r="C16" s="11" t="n">
        <f aca="false">C14*0.005</f>
        <v>5000000</v>
      </c>
      <c r="D16" s="11" t="n">
        <f aca="false">D14*0.005</f>
        <v>12000000</v>
      </c>
      <c r="E16" s="11" t="n">
        <f aca="false">E14*0.005</f>
        <v>20000000</v>
      </c>
      <c r="F16" s="53" t="n">
        <f aca="false">(E16/C16)^(1/2)-1</f>
        <v>1</v>
      </c>
      <c r="G16" s="10" t="s">
        <v>402</v>
      </c>
    </row>
    <row r="17" customFormat="false" ht="21.75" hidden="false" customHeight="true" outlineLevel="0" collapsed="false">
      <c r="A17" s="17" t="s">
        <v>403</v>
      </c>
      <c r="B17" s="6" t="s">
        <v>404</v>
      </c>
      <c r="C17" s="54" t="n">
        <v>0</v>
      </c>
      <c r="D17" s="7" t="n">
        <f aca="false">D11*500*12</f>
        <v>120000000</v>
      </c>
      <c r="E17" s="7" t="n">
        <f aca="false">E11*500*12</f>
        <v>270000000</v>
      </c>
      <c r="F17" s="7" t="s">
        <v>405</v>
      </c>
      <c r="G17" s="6" t="s">
        <v>406</v>
      </c>
    </row>
    <row r="18" customFormat="false" ht="21.75" hidden="false" customHeight="true" outlineLevel="0" collapsed="false">
      <c r="A18" s="19" t="s">
        <v>407</v>
      </c>
      <c r="B18" s="10" t="s">
        <v>408</v>
      </c>
      <c r="C18" s="55" t="n">
        <f aca="false">C16+C17</f>
        <v>5000000</v>
      </c>
      <c r="D18" s="11" t="n">
        <f aca="false">D16+D17</f>
        <v>132000000</v>
      </c>
      <c r="E18" s="11" t="n">
        <f aca="false">E16+E17</f>
        <v>290000000</v>
      </c>
      <c r="F18" s="53" t="n">
        <f aca="false">(E18/C18)^(1/2)-1</f>
        <v>6.61577310586391</v>
      </c>
      <c r="G18" s="10" t="s">
        <v>409</v>
      </c>
    </row>
    <row r="19" customFormat="false" ht="18" hidden="false" customHeight="true" outlineLevel="0" collapsed="false">
      <c r="A19" s="21" t="s">
        <v>410</v>
      </c>
      <c r="B19" s="21"/>
      <c r="C19" s="21"/>
      <c r="D19" s="21"/>
      <c r="E19" s="21"/>
      <c r="F19" s="21"/>
      <c r="G19" s="21"/>
    </row>
    <row r="20" customFormat="false" ht="21.75" hidden="false" customHeight="true" outlineLevel="0" collapsed="false">
      <c r="A20" s="19" t="s">
        <v>411</v>
      </c>
      <c r="B20" s="10" t="s">
        <v>412</v>
      </c>
      <c r="C20" s="52" t="n">
        <v>420000000</v>
      </c>
      <c r="D20" s="52" t="n">
        <v>1008000000</v>
      </c>
      <c r="E20" s="52" t="n">
        <v>1680000000</v>
      </c>
      <c r="F20" s="53" t="n">
        <f aca="false">(E20/C20)^(1/2)-1</f>
        <v>1</v>
      </c>
      <c r="G20" s="10" t="s">
        <v>413</v>
      </c>
    </row>
    <row r="21" customFormat="false" ht="21.75" hidden="false" customHeight="true" outlineLevel="0" collapsed="false">
      <c r="A21" s="17" t="s">
        <v>414</v>
      </c>
      <c r="B21" s="6" t="s">
        <v>415</v>
      </c>
      <c r="C21" s="7" t="n">
        <f aca="false">C11*50000*12</f>
        <v>3000000000</v>
      </c>
      <c r="D21" s="7" t="n">
        <f aca="false">D11*50000*12</f>
        <v>12000000000</v>
      </c>
      <c r="E21" s="7" t="n">
        <f aca="false">E11*50000*12</f>
        <v>27000000000</v>
      </c>
      <c r="F21" s="51" t="n">
        <f aca="false">(E21/C21)^(1/2)-1</f>
        <v>2</v>
      </c>
      <c r="G21" s="6" t="s">
        <v>416</v>
      </c>
    </row>
    <row r="22" customFormat="false" ht="21.75" hidden="false" customHeight="true" outlineLevel="0" collapsed="false">
      <c r="A22" s="19" t="s">
        <v>417</v>
      </c>
      <c r="B22" s="10" t="s">
        <v>418</v>
      </c>
      <c r="C22" s="56" t="s">
        <v>419</v>
      </c>
      <c r="D22" s="56" t="s">
        <v>420</v>
      </c>
      <c r="E22" s="56" t="s">
        <v>291</v>
      </c>
      <c r="F22" s="11" t="s">
        <v>120</v>
      </c>
      <c r="G22" s="10" t="s">
        <v>421</v>
      </c>
    </row>
  </sheetData>
  <mergeCells count="5">
    <mergeCell ref="A1:G1"/>
    <mergeCell ref="A2:G2"/>
    <mergeCell ref="A10:G10"/>
    <mergeCell ref="A15:G15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2026-05-14T10:43:33Z</dcterms:created>
  <dc:creator>openpyxl</dc:creator>
  <dc:description/>
  <dc:language>en-US</dc:language>
  <cp:lastModifiedBy/>
  <dcterms:modified xsi:type="dcterms:W3CDTF">2026-05-14T10:43:47Z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